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Tieu" sheetId="1" r:id="rId5"/>
    <sheet state="visible" name="DanhMuc" sheetId="2" r:id="rId6"/>
    <sheet state="visible" name="TongNgayThang" sheetId="3" r:id="rId7"/>
    <sheet state="visible" name="Dashboard" sheetId="4" r:id="rId8"/>
  </sheets>
  <definedNames>
    <definedName hidden="1" localSheetId="0" name="Z_F6A51401_1731_4BA5_B975_AF5A24E1ED3B_.wvu.FilterData">ChiTieu!$A$1:$J$1003</definedName>
    <definedName hidden="1" localSheetId="2" name="Z_69FB9DC0_E09B_4805_B884_5FF2B39EA250_.wvu.FilterData">TongNgayThang!$A$4:$E$35</definedName>
    <definedName hidden="1" localSheetId="0" name="Z_69FB9DC0_E09B_4805_B884_5FF2B39EA250_.wvu.FilterData">ChiTieu!$A$1:$J$1003</definedName>
  </definedNames>
  <calcPr/>
  <customWorkbookViews>
    <customWorkbookView activeSheetId="0" maximized="1" windowHeight="0" windowWidth="0" guid="{F6A51401-1731-4BA5-B975-AF5A24E1ED3B}" name="ChiTieuTable filter view"/>
    <customWorkbookView activeSheetId="0" maximized="1" windowHeight="0" windowWidth="0" guid="{69FB9DC0-E09B-4805-B884-5FF2B39EA250}" name="Nhóm theo Ngày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Tag khởi tạo từ cột Đối tượng; có thể đổi thành Về quê, Đi chơi hè, Team...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Đổi tháng tại Dashboard!B2</t>
      </text>
    </comment>
    <comment authorId="0" ref="H4">
      <text>
        <t xml:space="preserve">Dùng khi chế độ xem là Tháng; có thể nhập ngày đầu tháng khác</t>
      </text>
    </comment>
    <comment authorId="0" ref="H3">
      <text>
        <t xml:space="preserve">Dùng khi chế độ xem là Ngày</t>
      </text>
    </comment>
    <comment authorId="0" ref="H2">
      <text>
        <t xml:space="preserve">Nhập một trong 3 lựa chọn: Ngày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Chọn tháng từ danh sách tự động tại DanhMuc!B2:B100.</t>
      </text>
    </comment>
  </commentList>
</comments>
</file>

<file path=xl/sharedStrings.xml><?xml version="1.0" encoding="utf-8"?>
<sst xmlns="http://schemas.openxmlformats.org/spreadsheetml/2006/main" count="903" uniqueCount="189">
  <si>
    <t>Nhóm</t>
  </si>
  <si>
    <t>DASHBOARD CHI TIÊU CÁ NHÂN</t>
  </si>
  <si>
    <t>Tag</t>
  </si>
  <si>
    <t>Thanh toán</t>
  </si>
  <si>
    <t>Khoản chi</t>
  </si>
  <si>
    <t>Số lần tháng</t>
  </si>
  <si>
    <t>Xếp hạng</t>
  </si>
  <si>
    <t>Ăn sáng</t>
  </si>
  <si>
    <t>Bản thân</t>
  </si>
  <si>
    <t>Momo</t>
  </si>
  <si>
    <t>Mì Quảng</t>
  </si>
  <si>
    <t>Tháng phân tích</t>
  </si>
  <si>
    <t>Tổng chi tháng</t>
  </si>
  <si>
    <t>TỔNG CHI THEO NGÀY VÀ THÁNG</t>
  </si>
  <si>
    <t>Ngày</t>
  </si>
  <si>
    <t>Ăn trưa</t>
  </si>
  <si>
    <t>BỘ LỌC TỔNG CHI</t>
  </si>
  <si>
    <t>Gia đình</t>
  </si>
  <si>
    <t>Thẻ SHB</t>
  </si>
  <si>
    <t>Cà phê sữa</t>
  </si>
  <si>
    <t>Đối tượng</t>
  </si>
  <si>
    <t>Tháng trước</t>
  </si>
  <si>
    <t>Tháng đang xem</t>
  </si>
  <si>
    <t>Ăn tối</t>
  </si>
  <si>
    <t>Về quê</t>
  </si>
  <si>
    <t>VCB</t>
  </si>
  <si>
    <t>Cơm</t>
  </si>
  <si>
    <t>Số tiền</t>
  </si>
  <si>
    <t>Chế độ xem</t>
  </si>
  <si>
    <t>Thay đổi</t>
  </si>
  <si>
    <t>Tất cả</t>
  </si>
  <si>
    <t>Ăn vặt</t>
  </si>
  <si>
    <t>Đi chơi hè</t>
  </si>
  <si>
    <t>Ghi chú</t>
  </si>
  <si>
    <t>App Vietlot</t>
  </si>
  <si>
    <t>Vietlott</t>
  </si>
  <si>
    <t>Chọn ngày</t>
  </si>
  <si>
    <t>Tiền tháng chọn</t>
  </si>
  <si>
    <t>Cafe</t>
  </si>
  <si>
    <t>Team</t>
  </si>
  <si>
    <t>Tiền mặt</t>
  </si>
  <si>
    <t>Vé số</t>
  </si>
  <si>
    <t>Hạng tiền</t>
  </si>
  <si>
    <t>Số giao dịch</t>
  </si>
  <si>
    <t>Tổng chi ngày</t>
  </si>
  <si>
    <t>Cột 1</t>
  </si>
  <si>
    <t>Đồ uống</t>
  </si>
  <si>
    <t>Khác</t>
  </si>
  <si>
    <t>Chuyển khoản</t>
  </si>
  <si>
    <t>Đi chợ</t>
  </si>
  <si>
    <t>Tháng</t>
  </si>
  <si>
    <t>Chọn tháng</t>
  </si>
  <si>
    <t>Chi trung bình</t>
  </si>
  <si>
    <t>Thẻ</t>
  </si>
  <si>
    <t>Leo núi</t>
  </si>
  <si>
    <t>Bà Ngọc</t>
  </si>
  <si>
    <t>Khoản lớn nhất</t>
  </si>
  <si>
    <t>Di chuyển</t>
  </si>
  <si>
    <t>Kem</t>
  </si>
  <si>
    <t>Tag nổi bật</t>
  </si>
  <si>
    <t>Mua sắm</t>
  </si>
  <si>
    <t>Siêu thị Co.opmart</t>
  </si>
  <si>
    <t>CHI TIÊU THEO NHÓM</t>
  </si>
  <si>
    <t>Vật tư</t>
  </si>
  <si>
    <t>Công nghệ</t>
  </si>
  <si>
    <t>Giải trí</t>
  </si>
  <si>
    <t>Công việc</t>
  </si>
  <si>
    <t>Sức khỏe</t>
  </si>
  <si>
    <t>May mắn</t>
  </si>
  <si>
    <t>TOP 10 KHOẢN CHI NHIỀU TIỀN NHẤT</t>
  </si>
  <si>
    <t>Đồ ăn</t>
  </si>
  <si>
    <t>Tiền điện</t>
  </si>
  <si>
    <t>Tiền nước</t>
  </si>
  <si>
    <t>TOP 10 XUẤT HIỆN NHIỀU NHẤT</t>
  </si>
  <si>
    <t>Biểu đồ</t>
  </si>
  <si>
    <t>Số lần</t>
  </si>
  <si>
    <t>Hightlands</t>
  </si>
  <si>
    <t xml:space="preserve">Ăn tối </t>
  </si>
  <si>
    <t>An Nhiên</t>
  </si>
  <si>
    <t>May mắn</t>
  </si>
  <si>
    <t>Phạm vi đang xem</t>
  </si>
  <si>
    <t>Tổng chi</t>
  </si>
  <si>
    <t>Ông Bầu</t>
  </si>
  <si>
    <t>Cách dùng</t>
  </si>
  <si>
    <t>Đổi H2 thành: Ngày, Tháng hoặc Tất cả</t>
  </si>
  <si>
    <t>Đồ uống</t>
  </si>
  <si>
    <t>Nước cam</t>
  </si>
  <si>
    <t>Bà Dung</t>
  </si>
  <si>
    <t>Ngày: chọn tại H3 | Tháng: chọn tại H4</t>
  </si>
  <si>
    <t>Về quê</t>
  </si>
  <si>
    <t>Đồng Phước</t>
  </si>
  <si>
    <t>Khác</t>
  </si>
  <si>
    <t>Đám tang</t>
  </si>
  <si>
    <t>Ngoại thằng Hậu</t>
  </si>
  <si>
    <t>Hủ tíu bò kho</t>
  </si>
  <si>
    <t>Hồ Bá Kiện</t>
  </si>
  <si>
    <t>Nước mía</t>
  </si>
  <si>
    <t>Hủ tiếu</t>
  </si>
  <si>
    <t>Cô 7</t>
  </si>
  <si>
    <t>Vú</t>
  </si>
  <si>
    <t>Bà Trang</t>
  </si>
  <si>
    <t>Con</t>
  </si>
  <si>
    <t>Bánh bao</t>
  </si>
  <si>
    <t>Công viên</t>
  </si>
  <si>
    <t>Reveive lạnh</t>
  </si>
  <si>
    <t>Trụ nước công cộng</t>
  </si>
  <si>
    <t>Bó sổ</t>
  </si>
  <si>
    <t>Đổ xăng</t>
  </si>
  <si>
    <t>Mẹ</t>
  </si>
  <si>
    <t>Thẻ SHB</t>
  </si>
  <si>
    <t>Xăng</t>
  </si>
  <si>
    <t>Bún bò</t>
  </si>
  <si>
    <t>Cmtt Tây Ninh</t>
  </si>
  <si>
    <t>Đi SG</t>
  </si>
  <si>
    <t>Đồng Phước</t>
  </si>
  <si>
    <t>Grab</t>
  </si>
  <si>
    <t>Từ 43 Cộng Hòa</t>
  </si>
  <si>
    <t>Chè bắp</t>
  </si>
  <si>
    <t>CHI TIÊU THEO TAG</t>
  </si>
  <si>
    <t>THEO PHƯƠNG THỨC THANH TOÁN</t>
  </si>
  <si>
    <t>Phương thức</t>
  </si>
  <si>
    <t>Nước dừa</t>
  </si>
  <si>
    <t>Thẻ Kbank</t>
  </si>
  <si>
    <t>Gợi ý: cập nhật cột Tag trong sheet ChiTieu để theo dõi Về quê, Đi chơi hè, Team, Gia đình...</t>
  </si>
  <si>
    <t>Xôi</t>
  </si>
  <si>
    <t>Bánh mì Khôi</t>
  </si>
  <si>
    <t>Danh sách tháng tự động nằm tại sheet DanhMuc, cột B.</t>
  </si>
  <si>
    <t>Sư vạn hạnh</t>
  </si>
  <si>
    <t>Lưu ý: dữ liệu tháng 07/2026 có giao dịch ngày 26/07/2026, sau ngày hiện tại 23/07/2026; dashboard vẫn tính các dòng này.</t>
  </si>
  <si>
    <t>Mẹ vợ thằng Hùng</t>
  </si>
  <si>
    <t>Bún Huế</t>
  </si>
  <si>
    <t>Chị Châu</t>
  </si>
  <si>
    <t>Cafe sữa</t>
  </si>
  <si>
    <t>Ông Bầu</t>
  </si>
  <si>
    <t>An nhiên</t>
  </si>
  <si>
    <t>Hủ tíu</t>
  </si>
  <si>
    <t>Hẻm Tô Hiến Thành</t>
  </si>
  <si>
    <t>Vietlot</t>
  </si>
  <si>
    <t>Bánh mì</t>
  </si>
  <si>
    <t>Bà Ngọc</t>
  </si>
  <si>
    <t>Lương Định Của</t>
  </si>
  <si>
    <t>Khôi</t>
  </si>
  <si>
    <t>Vú</t>
  </si>
  <si>
    <t>Bà Trang</t>
  </si>
  <si>
    <t>Tiểu Lan</t>
  </si>
  <si>
    <t>Hủ tiếu</t>
  </si>
  <si>
    <t>Đồ uống</t>
  </si>
  <si>
    <t>Sữa đậu xanh</t>
  </si>
  <si>
    <t>Ông Thành</t>
  </si>
  <si>
    <t>Bún chả giò</t>
  </si>
  <si>
    <t>Kbank</t>
  </si>
  <si>
    <t>Highland</t>
  </si>
  <si>
    <t>Bò kho</t>
  </si>
  <si>
    <t>Huỳnh Tịnh Của</t>
  </si>
  <si>
    <t>Gỏi cuốn</t>
  </si>
  <si>
    <t>CMTT</t>
  </si>
  <si>
    <t xml:space="preserve">Tiền điện </t>
  </si>
  <si>
    <t>Điện</t>
  </si>
  <si>
    <t>SHB</t>
  </si>
  <si>
    <t>Nước</t>
  </si>
  <si>
    <t>Bánh mì</t>
  </si>
  <si>
    <t>Mẹ nấm</t>
  </si>
  <si>
    <t>Trường Sơn</t>
  </si>
  <si>
    <t>Nui</t>
  </si>
  <si>
    <t>Bún huế</t>
  </si>
  <si>
    <t>380 Nam Kỳ</t>
  </si>
  <si>
    <t>Family mart</t>
  </si>
  <si>
    <t>Đậu phộng</t>
  </si>
  <si>
    <t>Tiền mặt</t>
  </si>
  <si>
    <t>Tiề̀n mặt</t>
  </si>
  <si>
    <t>Bó sổ</t>
  </si>
  <si>
    <t>Chợ</t>
  </si>
  <si>
    <t>Chợ Long Hoa</t>
  </si>
  <si>
    <t>Tàu hủ</t>
  </si>
  <si>
    <t>Bản thân + Con</t>
  </si>
  <si>
    <t>Bún riêu + bánh canh</t>
  </si>
  <si>
    <t>Bún chả giò</t>
  </si>
  <si>
    <t>Bản thân</t>
  </si>
  <si>
    <t>Bún riêu</t>
  </si>
  <si>
    <t>Rau má</t>
  </si>
  <si>
    <t>Bánh canh</t>
  </si>
  <si>
    <t>Tô Hiến Thành</t>
  </si>
  <si>
    <t>Nước cam</t>
  </si>
  <si>
    <t>Bún măng</t>
  </si>
  <si>
    <t>Ăn uống</t>
  </si>
  <si>
    <t>Sinh tố bơ</t>
  </si>
  <si>
    <t>Dừa</t>
  </si>
  <si>
    <t>Trà Ô Long</t>
  </si>
  <si>
    <t>Bò sữa Long Thành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</si>
</sst>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General"/>
    <numFmt numFmtId="165" formatCode="mm/yyyy"/>
    <numFmt numFmtId="166" formatCode="#,##0 &quot;₫&quot;"/>
    <numFmt numFmtId="167" formatCode="dd/mm/yyyy"/>
    <numFmt numFmtId="168" formatCode="+0.0%;-0.0%;0.0%"/>
    <numFmt numFmtId="169" formatCode="0 &quot;lần&quot;"/>
  </numFmts>
  <fonts count="26">
    <font>
      <sz val="11.0"/>
      <color theme="1"/>
      <name val="Calibri"/>
      <scheme val="minor"/>
    </font>
    <font>
      <b/>
      <sz val="10.0"/>
      <color theme="1"/>
      <name val="Calibri"/>
    </font>
    <font>
      <b/>
      <sz val="16.0"/>
      <color rgb="FFFFFFFF"/>
      <name val="Calibri"/>
    </font>
    <font>
      <color theme="1"/>
      <name val="Calibri"/>
      <scheme val="minor"/>
    </font>
    <font>
      <b/>
      <color rgb="FF475569"/>
      <name val="Calibri"/>
      <scheme val="minor"/>
    </font>
    <font>
      <b/>
      <color rgb="FF0070C0"/>
      <name val="Calibri"/>
      <scheme val="minor"/>
    </font>
    <font>
      <b/>
      <sz val="14.0"/>
      <color rgb="FFFFFFFF"/>
      <name val="Calibri"/>
    </font>
    <font>
      <b/>
      <sz val="11.0"/>
      <color rgb="FFFFFFFF"/>
      <name val="Calibri"/>
    </font>
    <font>
      <b/>
      <sz val="13.0"/>
      <color rgb="FFFFFFFF"/>
      <name val="Calibri"/>
    </font>
    <font>
      <b/>
      <sz val="13.0"/>
      <color rgb="FF111827"/>
      <name val="Calibri"/>
      <scheme val="minor"/>
    </font>
    <font>
      <b/>
      <sz val="11.0"/>
      <color theme="1"/>
      <name val="Calibri"/>
    </font>
    <font>
      <color rgb="FF0070C0"/>
      <name val="Calibri"/>
      <scheme val="minor"/>
    </font>
    <font>
      <b/>
      <sz val="13.0"/>
      <color rgb="FFC00000"/>
      <name val="Calibri"/>
      <scheme val="minor"/>
    </font>
    <font>
      <b/>
      <color theme="1"/>
      <name val="Calibri"/>
      <scheme val="minor"/>
    </font>
    <font>
      <b/>
      <sz val="12.0"/>
      <color rgb="FF111827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2.0"/>
      <color rgb="FF059669"/>
      <name val="Calibri"/>
      <scheme val="minor"/>
    </font>
    <font>
      <b/>
      <sz val="10.0"/>
      <color rgb="FF1F2937"/>
      <name val="Calibri"/>
    </font>
    <font>
      <sz val="10.0"/>
      <color rgb="FF2563EB"/>
      <name val="Calibri"/>
    </font>
    <font>
      <b/>
      <color rgb="FFFFFFFF"/>
      <name val="Calibri"/>
      <scheme val="minor"/>
    </font>
    <font>
      <b/>
      <sz val="14.0"/>
      <color theme="1"/>
      <name val="Calibri"/>
      <scheme val="minor"/>
    </font>
    <font>
      <i/>
      <color rgb="FF666666"/>
      <name val="Calibri"/>
      <scheme val="minor"/>
    </font>
    <font>
      <i/>
      <color rgb="FF64748B"/>
      <name val="Calibri"/>
      <scheme val="minor"/>
    </font>
    <font>
      <i/>
      <color rgb="FFB45309"/>
      <name val="Calibri"/>
      <scheme val="minor"/>
    </font>
    <font>
      <sz val="11.0"/>
      <color rgb="FF434343"/>
      <name val="Roboto"/>
    </font>
  </fonts>
  <fills count="28">
    <fill>
      <patternFill patternType="none"/>
    </fill>
    <fill>
      <patternFill patternType="lightGray"/>
    </fill>
    <fill>
      <patternFill patternType="solid">
        <fgColor rgb="FF1D2330"/>
        <bgColor rgb="FF1D2330"/>
      </patternFill>
    </fill>
    <fill>
      <patternFill patternType="solid">
        <fgColor rgb="FFF1F5F9"/>
        <bgColor rgb="FFF1F5F9"/>
      </patternFill>
    </fill>
    <fill>
      <patternFill patternType="solid">
        <fgColor rgb="FF1F4E78"/>
        <bgColor rgb="FF1F4E78"/>
      </patternFill>
    </fill>
    <fill>
      <patternFill patternType="solid">
        <fgColor rgb="FF1D4ED8"/>
        <bgColor rgb="FF1D4ED8"/>
      </patternFill>
    </fill>
    <fill>
      <patternFill patternType="solid">
        <fgColor rgb="FF7030A0"/>
        <bgColor rgb="FF7030A0"/>
      </patternFill>
    </fill>
    <fill>
      <patternFill patternType="solid">
        <fgColor rgb="FFD9EAF7"/>
        <bgColor rgb="FFD9EAF7"/>
      </patternFill>
    </fill>
    <fill>
      <patternFill patternType="solid">
        <fgColor rgb="FFE4DFEC"/>
        <bgColor rgb="FFE4DFEC"/>
      </patternFill>
    </fill>
    <fill>
      <patternFill patternType="solid">
        <fgColor rgb="FFFFF2CC"/>
        <bgColor rgb="FFFFF2CC"/>
      </patternFill>
    </fill>
    <fill>
      <patternFill patternType="solid">
        <fgColor rgb="FFF8FAFC"/>
        <bgColor rgb="FFF8FAFC"/>
      </patternFill>
    </fill>
    <fill>
      <patternFill patternType="solid">
        <fgColor rgb="FFEAF2F8"/>
        <bgColor rgb="FFEAF2F8"/>
      </patternFill>
    </fill>
    <fill>
      <patternFill patternType="solid">
        <fgColor rgb="FFFFFFFF"/>
        <bgColor rgb="FFFFFFFF"/>
      </patternFill>
    </fill>
    <fill>
      <patternFill patternType="solid">
        <fgColor rgb="FF2563EB"/>
        <bgColor rgb="FF2563EB"/>
      </patternFill>
    </fill>
    <fill>
      <patternFill patternType="solid">
        <fgColor rgb="FF7C3AED"/>
        <bgColor rgb="FF7C3AED"/>
      </patternFill>
    </fill>
    <fill>
      <patternFill patternType="solid">
        <fgColor rgb="FFEA580C"/>
        <bgColor rgb="FFEA580C"/>
      </patternFill>
    </fill>
    <fill>
      <patternFill patternType="solid">
        <fgColor rgb="FFDBEAFE"/>
        <bgColor rgb="FFDBEAFE"/>
      </patternFill>
    </fill>
    <fill>
      <patternFill patternType="solid">
        <fgColor rgb="FFEDE9FE"/>
        <bgColor rgb="FFEDE9FE"/>
      </patternFill>
    </fill>
    <fill>
      <patternFill patternType="solid">
        <fgColor rgb="FFFFEDD5"/>
        <bgColor rgb="FFFFEDD5"/>
      </patternFill>
    </fill>
    <fill>
      <patternFill patternType="solid">
        <fgColor rgb="FFA64D79"/>
        <bgColor rgb="FFA64D7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BE5F1"/>
        <bgColor rgb="FFDBE5F1"/>
      </patternFill>
    </fill>
    <fill>
      <patternFill patternType="solid">
        <fgColor rgb="FF059669"/>
        <bgColor rgb="FF059669"/>
      </patternFill>
    </fill>
    <fill>
      <patternFill patternType="solid">
        <fgColor rgb="FF0891B2"/>
        <bgColor rgb="FF0891B2"/>
      </patternFill>
    </fill>
    <fill>
      <patternFill patternType="solid">
        <fgColor rgb="FFD1FAE5"/>
        <bgColor rgb="FFD1FAE5"/>
      </patternFill>
    </fill>
    <fill>
      <patternFill patternType="solid">
        <fgColor rgb="FFCFFAFE"/>
        <bgColor rgb="FFCFFAFE"/>
      </patternFill>
    </fill>
    <fill>
      <patternFill patternType="solid">
        <fgColor rgb="FFB7B7B7"/>
        <bgColor rgb="FFB7B7B7"/>
      </patternFill>
    </fill>
  </fills>
  <borders count="21">
    <border/>
    <border>
      <bottom style="thin">
        <color rgb="FF111827"/>
      </bottom>
    </border>
    <border>
      <bottom style="thin">
        <color rgb="FF1F1F1F"/>
      </bottom>
    </border>
    <border>
      <left/>
      <right/>
      <top/>
    </border>
    <border>
      <bottom style="thin">
        <color rgb="FF4C1D6F"/>
      </bottom>
    </border>
    <border>
      <top style="thin">
        <color rgb="FF5B9BD5"/>
      </top>
    </border>
    <border>
      <bottom style="thin">
        <color rgb="FF1E40AF"/>
      </bottom>
    </border>
    <border>
      <bottom style="thin">
        <color rgb="FF5B21B6"/>
      </bottom>
    </border>
    <border>
      <bottom style="thin">
        <color rgb="FFC2410C"/>
      </bottom>
    </border>
    <border>
      <bottom style="thin">
        <color rgb="FF93C5FD"/>
      </bottom>
    </border>
    <border>
      <bottom style="thin">
        <color rgb="FFC4B5FD"/>
      </bottom>
    </border>
    <border>
      <bottom style="thin">
        <color rgb="FFFDBA74"/>
      </bottom>
    </border>
    <border>
      <top style="thin">
        <color rgb="FFBF9000"/>
      </top>
    </border>
    <border>
      <bottom style="thin">
        <color rgb="FF047857"/>
      </bottom>
    </border>
    <border>
      <bottom style="thin">
        <color rgb="FF0E7490"/>
      </bottom>
    </border>
    <border>
      <bottom style="thin">
        <color rgb="FF6EE7B7"/>
      </bottom>
    </border>
    <border>
      <bottom style="thin">
        <color rgb="FF67E8F9"/>
      </bottom>
    </border>
    <border>
      <bottom style="thin">
        <color rgb="FFD9E2F3"/>
      </bottom>
    </border>
    <border>
      <bottom style="thin">
        <color rgb="FFE2F0D9"/>
      </bottom>
    </border>
    <border>
      <left style="thin">
        <color rgb="FF8C352D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1" fillId="2" fontId="2" numFmtId="164" xfId="0" applyAlignment="1" applyBorder="1" applyFill="1" applyFont="1" applyNumberFormat="1">
      <alignment horizontal="left" readingOrder="0"/>
    </xf>
    <xf borderId="0" fillId="0" fontId="3" numFmtId="0" xfId="0" applyFont="1"/>
    <xf borderId="0" fillId="0" fontId="3" numFmtId="0" xfId="0" applyAlignment="1" applyFont="1">
      <alignment readingOrder="0"/>
    </xf>
    <xf borderId="1" fillId="2" fontId="2" numFmtId="164" xfId="0" applyAlignment="1" applyBorder="1" applyFont="1" applyNumberFormat="1">
      <alignment horizontal="left"/>
    </xf>
    <xf borderId="0" fillId="3" fontId="4" numFmtId="0" xfId="0" applyAlignment="1" applyFill="1" applyFont="1">
      <alignment readingOrder="0"/>
    </xf>
    <xf borderId="0" fillId="0" fontId="5" numFmtId="165" xfId="0" applyAlignment="1" applyFont="1" applyNumberFormat="1">
      <alignment horizontal="center" readingOrder="0"/>
    </xf>
    <xf borderId="0" fillId="0" fontId="3" numFmtId="0" xfId="0" applyFont="1"/>
    <xf borderId="2" fillId="4" fontId="6" numFmtId="164" xfId="0" applyAlignment="1" applyBorder="1" applyFill="1" applyFont="1" applyNumberFormat="1">
      <alignment horizontal="left" readingOrder="0"/>
    </xf>
    <xf borderId="2" fillId="4" fontId="6" numFmtId="164" xfId="0" applyAlignment="1" applyBorder="1" applyFont="1" applyNumberFormat="1">
      <alignment horizontal="left"/>
    </xf>
    <xf borderId="3" fillId="5" fontId="7" numFmtId="0" xfId="0" applyAlignment="1" applyBorder="1" applyFill="1" applyFont="1">
      <alignment horizontal="center" readingOrder="0" shrinkToFit="0" vertical="center" wrapText="0"/>
    </xf>
    <xf borderId="4" fillId="6" fontId="8" numFmtId="164" xfId="0" applyAlignment="1" applyBorder="1" applyFill="1" applyFont="1" applyNumberFormat="1">
      <alignment horizontal="left" readingOrder="0"/>
    </xf>
    <xf borderId="0" fillId="0" fontId="9" numFmtId="166" xfId="0" applyAlignment="1" applyFont="1" applyNumberFormat="1">
      <alignment horizontal="right"/>
    </xf>
    <xf borderId="4" fillId="6" fontId="8" numFmtId="164" xfId="0" applyAlignment="1" applyBorder="1" applyFont="1" applyNumberFormat="1">
      <alignment horizontal="left"/>
    </xf>
    <xf borderId="3" fillId="5" fontId="7" numFmtId="49" xfId="0" applyAlignment="1" applyBorder="1" applyFont="1" applyNumberFormat="1">
      <alignment horizontal="center" readingOrder="0" shrinkToFit="0" vertical="center" wrapText="0"/>
    </xf>
    <xf borderId="0" fillId="7" fontId="5" numFmtId="165" xfId="0" applyAlignment="1" applyFill="1" applyFont="1" applyNumberFormat="1">
      <alignment horizontal="center"/>
    </xf>
    <xf borderId="0" fillId="8" fontId="5" numFmtId="0" xfId="0" applyAlignment="1" applyFill="1" applyFont="1">
      <alignment horizontal="center" readingOrder="0"/>
    </xf>
    <xf borderId="0" fillId="0" fontId="10" numFmtId="16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5" fontId="7" numFmtId="0" xfId="0" applyAlignment="1" applyFont="1">
      <alignment horizontal="center" readingOrder="0" shrinkToFit="0" vertical="center" wrapText="0"/>
    </xf>
    <xf borderId="0" fillId="9" fontId="11" numFmtId="167" xfId="0" applyAlignment="1" applyFill="1" applyFont="1" applyNumberFormat="1">
      <alignment horizontal="center" readingOrder="0"/>
    </xf>
    <xf borderId="0" fillId="0" fontId="12" numFmtId="168" xfId="0" applyAlignment="1" applyFont="1" applyNumberFormat="1">
      <alignment horizontal="right"/>
    </xf>
    <xf borderId="0" fillId="5" fontId="7" numFmtId="0" xfId="0" applyAlignment="1" applyFont="1">
      <alignment horizontal="center" readingOrder="0" shrinkToFit="0" vertical="center" wrapText="0"/>
    </xf>
    <xf borderId="0" fillId="10" fontId="4" numFmtId="0" xfId="0" applyAlignment="1" applyFill="1" applyFont="1">
      <alignment readingOrder="0"/>
    </xf>
    <xf borderId="0" fillId="0" fontId="10" numFmtId="164" xfId="0" applyAlignment="1" applyFont="1" applyNumberFormat="1">
      <alignment horizontal="center" readingOrder="0" shrinkToFit="0" vertical="center" wrapText="0"/>
    </xf>
    <xf borderId="5" fillId="11" fontId="13" numFmtId="167" xfId="0" applyAlignment="1" applyBorder="1" applyFill="1" applyFont="1" applyNumberForma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5" fillId="11" fontId="3" numFmtId="0" xfId="0" applyAlignment="1" applyBorder="1" applyFont="1">
      <alignment readingOrder="0" shrinkToFit="0" vertical="center" wrapText="0"/>
    </xf>
    <xf borderId="0" fillId="0" fontId="14" numFmtId="169" xfId="0" applyAlignment="1" applyFont="1" applyNumberFormat="1">
      <alignment horizontal="right"/>
    </xf>
    <xf borderId="5" fillId="11" fontId="15" numFmtId="3" xfId="0" applyAlignment="1" applyBorder="1" applyFont="1" applyNumberFormat="1">
      <alignment readingOrder="0" shrinkToFit="0" vertical="center" wrapText="0"/>
    </xf>
    <xf borderId="0" fillId="9" fontId="11" numFmtId="165" xfId="0" applyAlignment="1" applyFont="1" applyNumberFormat="1">
      <alignment horizontal="center"/>
    </xf>
    <xf borderId="0" fillId="0" fontId="14" numFmtId="166" xfId="0" applyAlignment="1" applyFont="1" applyNumberFormat="1">
      <alignment horizontal="right"/>
    </xf>
    <xf borderId="0" fillId="12" fontId="16" numFmtId="167" xfId="0" applyAlignment="1" applyFill="1" applyFont="1" applyNumberFormat="1">
      <alignment shrinkToFit="0" vertical="center" wrapText="0"/>
    </xf>
    <xf borderId="0" fillId="0" fontId="17" numFmtId="0" xfId="0" applyAlignment="1" applyFont="1">
      <alignment horizontal="right"/>
    </xf>
    <xf borderId="0" fillId="0" fontId="3" numFmtId="3" xfId="0" applyAlignment="1" applyFont="1" applyNumberFormat="1">
      <alignment readingOrder="0" shrinkToFit="0" vertical="center" wrapText="0"/>
    </xf>
    <xf borderId="6" fillId="13" fontId="7" numFmtId="164" xfId="0" applyAlignment="1" applyBorder="1" applyFill="1" applyFont="1" applyNumberFormat="1">
      <alignment horizontal="left" readingOrder="0"/>
    </xf>
    <xf borderId="0" fillId="12" fontId="16" numFmtId="166" xfId="0" applyAlignment="1" applyFont="1" applyNumberFormat="1">
      <alignment shrinkToFit="0" vertical="center" wrapText="0"/>
    </xf>
    <xf borderId="6" fillId="13" fontId="7" numFmtId="164" xfId="0" applyAlignment="1" applyBorder="1" applyFont="1" applyNumberFormat="1">
      <alignment horizontal="left"/>
    </xf>
    <xf borderId="7" fillId="14" fontId="7" numFmtId="164" xfId="0" applyAlignment="1" applyBorder="1" applyFill="1" applyFont="1" applyNumberFormat="1">
      <alignment horizontal="left" readingOrder="0"/>
    </xf>
    <xf borderId="7" fillId="14" fontId="7" numFmtId="164" xfId="0" applyAlignment="1" applyBorder="1" applyFont="1" applyNumberFormat="1">
      <alignment horizontal="left"/>
    </xf>
    <xf borderId="8" fillId="15" fontId="7" numFmtId="164" xfId="0" applyAlignment="1" applyBorder="1" applyFill="1" applyFont="1" applyNumberFormat="1">
      <alignment horizontal="left" readingOrder="0"/>
    </xf>
    <xf borderId="8" fillId="15" fontId="7" numFmtId="164" xfId="0" applyAlignment="1" applyBorder="1" applyFont="1" applyNumberFormat="1">
      <alignment horizontal="left"/>
    </xf>
    <xf borderId="0" fillId="0" fontId="3" numFmtId="0" xfId="0" applyAlignment="1" applyFont="1">
      <alignment readingOrder="0" shrinkToFit="0" vertical="center" wrapText="0"/>
    </xf>
    <xf borderId="0" fillId="12" fontId="16" numFmtId="165" xfId="0" applyAlignment="1" applyFont="1" applyNumberFormat="1">
      <alignment horizontal="center" shrinkToFit="0" vertical="center" wrapText="0"/>
    </xf>
    <xf borderId="9" fillId="16" fontId="18" numFmtId="164" xfId="0" applyAlignment="1" applyBorder="1" applyFill="1" applyFont="1" applyNumberFormat="1">
      <alignment horizontal="center" readingOrder="0"/>
    </xf>
    <xf borderId="0" fillId="11" fontId="3" numFmtId="167" xfId="0" applyAlignment="1" applyFont="1" applyNumberFormat="1">
      <alignment readingOrder="0" shrinkToFit="0" vertical="center" wrapText="0"/>
    </xf>
    <xf borderId="10" fillId="17" fontId="18" numFmtId="164" xfId="0" applyAlignment="1" applyBorder="1" applyFill="1" applyFont="1" applyNumberFormat="1">
      <alignment horizontal="center" readingOrder="0"/>
    </xf>
    <xf borderId="0" fillId="11" fontId="3" numFmtId="0" xfId="0" applyAlignment="1" applyFont="1">
      <alignment readingOrder="0" shrinkToFit="0" vertical="center" wrapText="0"/>
    </xf>
    <xf borderId="11" fillId="18" fontId="18" numFmtId="164" xfId="0" applyAlignment="1" applyBorder="1" applyFill="1" applyFont="1" applyNumberFormat="1">
      <alignment horizontal="center" readingOrder="0"/>
    </xf>
    <xf borderId="0" fillId="12" fontId="16" numFmtId="166" xfId="0" applyAlignment="1" applyFont="1" applyNumberFormat="1">
      <alignment horizontal="right" shrinkToFit="0" vertical="center" wrapText="0"/>
    </xf>
    <xf borderId="0" fillId="11" fontId="15" numFmtId="3" xfId="0" applyAlignment="1" applyFont="1" applyNumberFormat="1">
      <alignment readingOrder="0" shrinkToFit="0" vertical="center" wrapText="0"/>
    </xf>
    <xf borderId="0" fillId="0" fontId="3" numFmtId="3" xfId="0" applyFont="1" applyNumberFormat="1"/>
    <xf borderId="0" fillId="12" fontId="19" numFmtId="164" xfId="0" applyAlignment="1" applyFont="1" applyNumberFormat="1">
      <alignment horizontal="left"/>
    </xf>
    <xf borderId="0" fillId="19" fontId="20" numFmtId="0" xfId="0" applyAlignment="1" applyFill="1" applyFont="1">
      <alignment readingOrder="0"/>
    </xf>
    <xf borderId="0" fillId="20" fontId="13" numFmtId="0" xfId="0" applyAlignment="1" applyFill="1" applyFont="1">
      <alignment horizontal="center"/>
    </xf>
    <xf borderId="0" fillId="0" fontId="3" numFmtId="169" xfId="0" applyFont="1" applyNumberFormat="1"/>
    <xf borderId="12" fillId="9" fontId="13" numFmtId="167" xfId="0" applyAlignment="1" applyBorder="1" applyFont="1" applyNumberFormat="1">
      <alignment readingOrder="0" shrinkToFit="0" vertical="center" wrapText="0"/>
    </xf>
    <xf borderId="12" fillId="9" fontId="3" numFmtId="0" xfId="0" applyAlignment="1" applyBorder="1" applyFont="1">
      <alignment readingOrder="0" shrinkToFit="0" vertical="center" wrapText="0"/>
    </xf>
    <xf borderId="12" fillId="9" fontId="15" numFmtId="3" xfId="0" applyAlignment="1" applyBorder="1" applyFont="1" applyNumberFormat="1">
      <alignment readingOrder="0" shrinkToFit="0" vertical="center" wrapText="0"/>
    </xf>
    <xf borderId="0" fillId="21" fontId="21" numFmtId="166" xfId="0" applyAlignment="1" applyFill="1" applyFont="1" applyNumberFormat="1">
      <alignment horizontal="right"/>
    </xf>
    <xf borderId="0" fillId="9" fontId="3" numFmtId="167" xfId="0" applyAlignment="1" applyFont="1" applyNumberFormat="1">
      <alignment readingOrder="0" shrinkToFit="0" vertical="center" wrapText="0"/>
    </xf>
    <xf borderId="0" fillId="9" fontId="3" numFmtId="0" xfId="0" applyAlignment="1" applyFont="1">
      <alignment readingOrder="0" shrinkToFit="0" vertical="center" wrapText="0"/>
    </xf>
    <xf borderId="0" fillId="9" fontId="15" numFmtId="3" xfId="0" applyAlignment="1" applyFont="1" applyNumberFormat="1">
      <alignment readingOrder="0" shrinkToFit="0" vertical="center" wrapText="0"/>
    </xf>
    <xf borderId="0" fillId="0" fontId="22" numFmtId="0" xfId="0" applyAlignment="1" applyFont="1">
      <alignment readingOrder="0"/>
    </xf>
    <xf borderId="0" fillId="22" fontId="13" numFmtId="167" xfId="0" applyAlignment="1" applyFill="1" applyFont="1" applyNumberFormat="1">
      <alignment readingOrder="0" shrinkToFit="0" vertical="center" wrapText="0"/>
    </xf>
    <xf borderId="0" fillId="22" fontId="3" numFmtId="0" xfId="0" applyAlignment="1" applyFont="1">
      <alignment readingOrder="0" shrinkToFit="0" vertical="center" wrapText="0"/>
    </xf>
    <xf borderId="0" fillId="22" fontId="15" numFmtId="3" xfId="0" applyAlignment="1" applyFont="1" applyNumberFormat="1">
      <alignment readingOrder="0" shrinkToFit="0" vertical="center" wrapText="0"/>
    </xf>
    <xf borderId="0" fillId="22" fontId="3" numFmtId="0" xfId="0" applyAlignment="1" applyFont="1">
      <alignment shrinkToFit="0" vertical="center" wrapText="0"/>
    </xf>
    <xf borderId="0" fillId="22" fontId="3" numFmtId="167" xfId="0" applyAlignment="1" applyFont="1" applyNumberFormat="1">
      <alignment readingOrder="0" shrinkToFit="0" vertical="center" wrapText="0"/>
    </xf>
    <xf borderId="0" fillId="9" fontId="13" numFmtId="167" xfId="0" applyAlignment="1" applyFont="1" applyNumberFormat="1">
      <alignment readingOrder="0" shrinkToFit="0" vertical="center" wrapText="0"/>
    </xf>
    <xf borderId="13" fillId="23" fontId="7" numFmtId="164" xfId="0" applyAlignment="1" applyBorder="1" applyFill="1" applyFont="1" applyNumberFormat="1">
      <alignment horizontal="left" readingOrder="0"/>
    </xf>
    <xf borderId="13" fillId="23" fontId="7" numFmtId="164" xfId="0" applyAlignment="1" applyBorder="1" applyFont="1" applyNumberFormat="1">
      <alignment horizontal="left"/>
    </xf>
    <xf borderId="14" fillId="24" fontId="7" numFmtId="164" xfId="0" applyAlignment="1" applyBorder="1" applyFill="1" applyFont="1" applyNumberFormat="1">
      <alignment horizontal="left" readingOrder="0"/>
    </xf>
    <xf borderId="14" fillId="24" fontId="7" numFmtId="164" xfId="0" applyAlignment="1" applyBorder="1" applyFont="1" applyNumberFormat="1">
      <alignment horizontal="left"/>
    </xf>
    <xf borderId="15" fillId="25" fontId="18" numFmtId="164" xfId="0" applyAlignment="1" applyBorder="1" applyFill="1" applyFont="1" applyNumberFormat="1">
      <alignment horizontal="center" readingOrder="0"/>
    </xf>
    <xf borderId="16" fillId="26" fontId="18" numFmtId="164" xfId="0" applyAlignment="1" applyBorder="1" applyFill="1" applyFont="1" applyNumberFormat="1">
      <alignment horizontal="center"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17" fillId="12" fontId="16" numFmtId="167" xfId="0" applyAlignment="1" applyBorder="1" applyFont="1" applyNumberFormat="1">
      <alignment shrinkToFit="0" vertical="center" wrapText="0"/>
    </xf>
    <xf borderId="17" fillId="12" fontId="16" numFmtId="166" xfId="0" applyAlignment="1" applyBorder="1" applyFont="1" applyNumberFormat="1">
      <alignment shrinkToFit="0" vertical="center" wrapText="0"/>
    </xf>
    <xf borderId="0" fillId="9" fontId="13" numFmtId="167" xfId="0" applyAlignment="1" applyFont="1" applyNumberFormat="1">
      <alignment readingOrder="0" shrinkToFit="0" vertical="center" wrapText="0"/>
    </xf>
    <xf borderId="0" fillId="12" fontId="16" numFmtId="165" xfId="0" applyAlignment="1" applyFont="1" applyNumberFormat="1">
      <alignment horizontal="center"/>
    </xf>
    <xf borderId="0" fillId="12" fontId="16" numFmtId="166" xfId="0" applyAlignment="1" applyFont="1" applyNumberFormat="1">
      <alignment horizontal="right"/>
    </xf>
    <xf borderId="18" fillId="12" fontId="16" numFmtId="166" xfId="0" applyAlignment="1" applyBorder="1" applyFont="1" applyNumberFormat="1">
      <alignment horizontal="right"/>
    </xf>
    <xf borderId="19" fillId="22" fontId="25" numFmtId="167" xfId="0" applyAlignment="1" applyBorder="1" applyFont="1" applyNumberFormat="1">
      <alignment horizontal="right" shrinkToFit="0" vertical="center" wrapText="0"/>
    </xf>
    <xf borderId="20" fillId="22" fontId="25" numFmtId="0" xfId="0" applyAlignment="1" applyBorder="1" applyFont="1">
      <alignment readingOrder="0" shrinkToFit="0" vertical="center" wrapText="0"/>
    </xf>
    <xf borderId="20" fillId="22" fontId="25" numFmtId="0" xfId="0" applyAlignment="1" applyBorder="1" applyFont="1">
      <alignment shrinkToFit="0" vertical="center" wrapText="0"/>
    </xf>
    <xf borderId="20" fillId="22" fontId="15" numFmtId="3" xfId="0" applyAlignment="1" applyBorder="1" applyFont="1" applyNumberFormat="1">
      <alignment horizontal="right" readingOrder="0" shrinkToFit="0" vertical="center" wrapText="0"/>
    </xf>
    <xf borderId="19" fillId="22" fontId="25" numFmtId="167" xfId="0" applyAlignment="1" applyBorder="1" applyFont="1" applyNumberFormat="1">
      <alignment horizontal="right" shrinkToFit="0" vertical="center" wrapText="0"/>
    </xf>
    <xf borderId="20" fillId="22" fontId="25" numFmtId="0" xfId="0" applyAlignment="1" applyBorder="1" applyFont="1">
      <alignment readingOrder="0" shrinkToFit="0" vertical="center" wrapText="0"/>
    </xf>
    <xf borderId="20" fillId="22" fontId="15" numFmtId="3" xfId="0" applyAlignment="1" applyBorder="1" applyFont="1" applyNumberFormat="1">
      <alignment horizontal="right" readingOrder="0" shrinkToFit="0" vertical="center" wrapText="0"/>
    </xf>
    <xf borderId="20" fillId="22" fontId="25" numFmtId="0" xfId="0" applyAlignment="1" applyBorder="1" applyFont="1">
      <alignment shrinkToFit="0" vertical="center" wrapText="0"/>
    </xf>
    <xf borderId="0" fillId="27" fontId="3" numFmtId="0" xfId="0" applyAlignment="1" applyFill="1" applyFont="1">
      <alignment readingOrder="0" shrinkToFit="0" vertical="center" wrapText="0"/>
    </xf>
    <xf borderId="0" fillId="27" fontId="15" numFmtId="3" xfId="0" applyAlignment="1" applyFont="1" applyNumberFormat="1">
      <alignment readingOrder="0" shrinkToFit="0" vertical="center" wrapText="0"/>
    </xf>
    <xf borderId="20" fillId="9" fontId="25" numFmtId="0" xfId="0" applyAlignment="1" applyBorder="1" applyFont="1">
      <alignment readingOrder="0" shrinkToFit="0" vertical="center" wrapText="0"/>
    </xf>
    <xf borderId="20" fillId="22" fontId="3" numFmtId="0" xfId="0" applyAlignment="1" applyBorder="1" applyFont="1">
      <alignment readingOrder="0" shrinkToFit="0" vertical="center" wrapText="0"/>
    </xf>
    <xf borderId="0" fillId="22" fontId="25" numFmtId="0" xfId="0" applyAlignment="1" applyFont="1">
      <alignment readingOrder="0" shrinkToFit="0" vertical="center" wrapText="0"/>
    </xf>
    <xf borderId="20" fillId="9" fontId="3" numFmtId="0" xfId="0" applyAlignment="1" applyBorder="1" applyFont="1">
      <alignment readingOrder="0" shrinkToFit="0" vertical="center" wrapText="0"/>
    </xf>
    <xf borderId="0" fillId="27" fontId="3" numFmtId="167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hiTieu-style">
      <tableStyleElement dxfId="2" type="headerRow"/>
      <tableStyleElement dxfId="4" type="firstRowStripe"/>
      <tableStyleElement dxfId="3" type="secondRowStripe"/>
      <tableStyleElement dxfId="6" size="0" type="wholeTable"/>
    </tableStyle>
    <tableStyle count="4" pivot="0" name="TongNgayThang-style">
      <tableStyleElement dxfId="1" type="headerRow"/>
      <tableStyleElement dxfId="3" type="firstRowStripe"/>
      <tableStyleElement dxfId="5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003" displayName="ChiTieuTable" name="ChiTieuTable" id="2">
  <tableColumns count="10">
    <tableColumn name="Ngày" id="1"/>
    <tableColumn name="Nhóm" id="2"/>
    <tableColumn name="Đối tượng" id="3"/>
    <tableColumn name="Khoản chi" id="4"/>
    <tableColumn name="Số tiền" id="5"/>
    <tableColumn name="Thanh toán" id="6"/>
    <tableColumn name="Ghi chú" id="7"/>
    <tableColumn name="Tag" id="8"/>
    <tableColumn name="Tiền tháng chọn" id="9"/>
    <tableColumn name="Hạng tiền" id="10"/>
  </tableColumns>
  <tableStyleInfo name="ChiTieu-style" showColumnStripes="0" showFirstColumn="1" showLastColumn="1" showRowStripes="1"/>
</table>
</file>

<file path=xl/tables/table2.xml><?xml version="1.0" encoding="utf-8"?>
<table xmlns="http://schemas.openxmlformats.org/spreadsheetml/2006/main" ref="A4:E35" displayName="Bảng_1" name="Bảng_1" id="1">
  <tableColumns count="5">
    <tableColumn name="Ngày" id="1"/>
    <tableColumn name="Tổng chi ngày" id="2"/>
    <tableColumn name="Cột 1" id="3"/>
    <tableColumn name="Tháng" id="4"/>
    <tableColumn name="Tổng chi tháng" id="5"/>
  </tableColumns>
  <tableStyleInfo name="TongNgayTha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10.29"/>
    <col customWidth="1" min="3" max="3" width="16.0"/>
    <col customWidth="1" min="4" max="4" width="21.57"/>
    <col customWidth="1" min="5" max="5" width="11.14"/>
    <col customWidth="1" min="6" max="6" width="15.14"/>
    <col customWidth="1" min="7" max="7" width="19.86"/>
    <col customWidth="1" min="8" max="8" width="24.86"/>
    <col customWidth="1" hidden="1" min="9" max="10" width="8.71"/>
    <col customWidth="1" min="11" max="28" width="8.71"/>
  </cols>
  <sheetData>
    <row r="1" ht="15.75" customHeight="1">
      <c r="A1" s="11" t="s">
        <v>14</v>
      </c>
      <c r="B1" s="11" t="s">
        <v>0</v>
      </c>
      <c r="C1" s="15" t="s">
        <v>20</v>
      </c>
      <c r="D1" s="11" t="s">
        <v>4</v>
      </c>
      <c r="E1" s="11" t="s">
        <v>27</v>
      </c>
      <c r="F1" s="15" t="s">
        <v>3</v>
      </c>
      <c r="G1" s="11" t="s">
        <v>33</v>
      </c>
      <c r="H1" s="20" t="s">
        <v>2</v>
      </c>
      <c r="I1" s="23" t="s">
        <v>37</v>
      </c>
      <c r="J1" s="23" t="s">
        <v>42</v>
      </c>
    </row>
    <row r="2" ht="15.75" customHeight="1">
      <c r="A2" s="26">
        <v>46226.0</v>
      </c>
      <c r="B2" s="28" t="s">
        <v>7</v>
      </c>
      <c r="C2" s="28" t="s">
        <v>8</v>
      </c>
      <c r="D2" s="28" t="s">
        <v>10</v>
      </c>
      <c r="E2" s="30">
        <v>30000.0</v>
      </c>
      <c r="F2" s="28" t="s">
        <v>9</v>
      </c>
      <c r="G2" s="28" t="s">
        <v>55</v>
      </c>
      <c r="H2" s="28" t="s">
        <v>8</v>
      </c>
      <c r="I2" s="35">
        <f>IF(AND(A2&gt;=Dashboard!$B$2,A2&lt;EDATE(Dashboard!$B$2,1),D2&lt;&gt;""),E2,"")</f>
        <v>30000</v>
      </c>
      <c r="J2" s="43" t="str">
        <f t="shared" ref="J2:J1003" si="1">IF(I2="","",RANK(I2,$I$2:$I$1014,0)+COUNTIF($I$2:I2,I2)-1)</f>
        <v>#REF!</v>
      </c>
    </row>
    <row r="3" ht="15.75" customHeight="1">
      <c r="A3" s="46">
        <v>46226.0</v>
      </c>
      <c r="B3" s="48" t="s">
        <v>38</v>
      </c>
      <c r="C3" s="48" t="s">
        <v>8</v>
      </c>
      <c r="D3" s="48" t="s">
        <v>19</v>
      </c>
      <c r="E3" s="51">
        <v>29000.0</v>
      </c>
      <c r="F3" s="48" t="s">
        <v>18</v>
      </c>
      <c r="G3" s="48" t="s">
        <v>76</v>
      </c>
      <c r="H3" s="48" t="s">
        <v>8</v>
      </c>
      <c r="I3" s="35">
        <f>IF(AND(A3&gt;=Dashboard!$B$2,A3&lt;EDATE(Dashboard!$B$2,1),D3&lt;&gt;""),E3,"")</f>
        <v>29000</v>
      </c>
      <c r="J3" s="43" t="str">
        <f t="shared" si="1"/>
        <v>#REF!</v>
      </c>
    </row>
    <row r="4" ht="15.75" customHeight="1">
      <c r="A4" s="46">
        <v>46226.0</v>
      </c>
      <c r="B4" s="48" t="s">
        <v>77</v>
      </c>
      <c r="C4" s="48" t="s">
        <v>8</v>
      </c>
      <c r="D4" s="48" t="s">
        <v>26</v>
      </c>
      <c r="E4" s="51">
        <v>27000.0</v>
      </c>
      <c r="F4" s="48" t="s">
        <v>25</v>
      </c>
      <c r="G4" s="48" t="s">
        <v>78</v>
      </c>
      <c r="H4" s="48" t="s">
        <v>8</v>
      </c>
      <c r="I4" s="35">
        <f>IF(AND(A4&gt;=Dashboard!$B$2,A4&lt;EDATE(Dashboard!$B$2,1),D4&lt;&gt;""),E4,"")</f>
        <v>27000</v>
      </c>
      <c r="J4" s="43" t="str">
        <f t="shared" si="1"/>
        <v>#REF!</v>
      </c>
    </row>
    <row r="5" ht="15.75" customHeight="1">
      <c r="A5" s="46">
        <v>46226.0</v>
      </c>
      <c r="B5" s="48" t="s">
        <v>79</v>
      </c>
      <c r="C5" s="48" t="s">
        <v>8</v>
      </c>
      <c r="D5" s="48" t="s">
        <v>35</v>
      </c>
      <c r="E5" s="51">
        <v>10000.0</v>
      </c>
      <c r="F5" s="48" t="s">
        <v>34</v>
      </c>
      <c r="G5" s="48" t="s">
        <v>35</v>
      </c>
      <c r="H5" s="48" t="s">
        <v>8</v>
      </c>
      <c r="I5" s="35">
        <f>IF(AND(A5&gt;=Dashboard!$B$2,A5&lt;EDATE(Dashboard!$B$2,1),D5&lt;&gt;""),E5,"")</f>
        <v>10000</v>
      </c>
      <c r="J5" s="43" t="str">
        <f t="shared" si="1"/>
        <v>#REF!</v>
      </c>
    </row>
    <row r="6" ht="15.75" customHeight="1">
      <c r="A6" s="46">
        <v>46226.0</v>
      </c>
      <c r="B6" s="48" t="s">
        <v>68</v>
      </c>
      <c r="C6" s="48" t="s">
        <v>8</v>
      </c>
      <c r="D6" s="48" t="s">
        <v>41</v>
      </c>
      <c r="E6" s="51">
        <v>20000.0</v>
      </c>
      <c r="F6" s="48" t="s">
        <v>40</v>
      </c>
      <c r="G6" s="48" t="s">
        <v>41</v>
      </c>
      <c r="H6" s="48" t="s">
        <v>8</v>
      </c>
      <c r="I6" s="35">
        <f>IF(AND(A6&gt;=Dashboard!$B$2,A6&lt;EDATE(Dashboard!$B$2,1),D6&lt;&gt;""),E6,"")</f>
        <v>20000</v>
      </c>
      <c r="J6" s="43" t="str">
        <f t="shared" si="1"/>
        <v>#REF!</v>
      </c>
    </row>
    <row r="7" ht="15.75" customHeight="1">
      <c r="A7" s="57">
        <v>46227.0</v>
      </c>
      <c r="B7" s="58" t="s">
        <v>38</v>
      </c>
      <c r="C7" s="58" t="s">
        <v>8</v>
      </c>
      <c r="D7" s="58" t="s">
        <v>19</v>
      </c>
      <c r="E7" s="59">
        <v>26000.0</v>
      </c>
      <c r="F7" s="58" t="s">
        <v>9</v>
      </c>
      <c r="G7" s="58" t="s">
        <v>82</v>
      </c>
      <c r="H7" s="58" t="s">
        <v>8</v>
      </c>
      <c r="I7" s="35">
        <f>IF(AND(A56&gt;=Dashboard!$B$2,A56&lt;EDATE(Dashboard!$B$2,1),D56&lt;&gt;""),E56,"")</f>
        <v>50000</v>
      </c>
      <c r="J7" s="43" t="str">
        <f t="shared" si="1"/>
        <v>#REF!</v>
      </c>
    </row>
    <row r="8" ht="15.75" customHeight="1">
      <c r="A8" s="61">
        <v>46227.0</v>
      </c>
      <c r="B8" s="62" t="s">
        <v>15</v>
      </c>
      <c r="C8" s="62" t="s">
        <v>8</v>
      </c>
      <c r="D8" s="62" t="s">
        <v>26</v>
      </c>
      <c r="E8" s="63">
        <v>27000.0</v>
      </c>
      <c r="F8" s="62" t="s">
        <v>25</v>
      </c>
      <c r="G8" s="62" t="s">
        <v>78</v>
      </c>
      <c r="H8" s="62" t="s">
        <v>8</v>
      </c>
      <c r="I8" s="35">
        <f>IF(AND(A57&gt;=Dashboard!$B$2,A57&lt;EDATE(Dashboard!$B$2,1),D57&lt;&gt;""),E57,"")</f>
        <v>60000</v>
      </c>
      <c r="J8" s="43" t="str">
        <f t="shared" si="1"/>
        <v>#REF!</v>
      </c>
    </row>
    <row r="9" ht="15.75" customHeight="1">
      <c r="A9" s="61">
        <v>46227.0</v>
      </c>
      <c r="B9" s="62" t="s">
        <v>79</v>
      </c>
      <c r="C9" s="62" t="s">
        <v>8</v>
      </c>
      <c r="D9" s="62" t="s">
        <v>35</v>
      </c>
      <c r="E9" s="63">
        <v>10000.0</v>
      </c>
      <c r="F9" s="62" t="s">
        <v>34</v>
      </c>
      <c r="G9" s="62" t="s">
        <v>35</v>
      </c>
      <c r="H9" s="62" t="s">
        <v>8</v>
      </c>
      <c r="I9" s="35">
        <f>IF(AND(A58&gt;=Dashboard!$B$2,A58&lt;EDATE(Dashboard!$B$2,1),D58&lt;&gt;""),E58,"")</f>
        <v>30000</v>
      </c>
      <c r="J9" s="43" t="str">
        <f t="shared" si="1"/>
        <v>#REF!</v>
      </c>
    </row>
    <row r="10" ht="15.75" customHeight="1">
      <c r="A10" s="61">
        <v>46227.0</v>
      </c>
      <c r="B10" s="62" t="s">
        <v>68</v>
      </c>
      <c r="C10" s="62" t="s">
        <v>8</v>
      </c>
      <c r="D10" s="62" t="s">
        <v>41</v>
      </c>
      <c r="E10" s="63">
        <v>30000.0</v>
      </c>
      <c r="F10" s="62" t="s">
        <v>40</v>
      </c>
      <c r="G10" s="62" t="s">
        <v>41</v>
      </c>
      <c r="H10" s="62" t="s">
        <v>8</v>
      </c>
      <c r="I10" s="35">
        <f>IF(AND(A10&gt;=Dashboard!$B$2,A10&lt;EDATE(Dashboard!$B$2,1),D10&lt;&gt;""),E10,"")</f>
        <v>30000</v>
      </c>
      <c r="J10" s="43" t="str">
        <f t="shared" si="1"/>
        <v>#REF!</v>
      </c>
    </row>
    <row r="11" ht="15.75" customHeight="1">
      <c r="A11" s="61">
        <v>46227.0</v>
      </c>
      <c r="B11" s="62" t="s">
        <v>85</v>
      </c>
      <c r="C11" s="62" t="s">
        <v>8</v>
      </c>
      <c r="D11" s="62" t="s">
        <v>86</v>
      </c>
      <c r="E11" s="63">
        <v>10000.0</v>
      </c>
      <c r="F11" s="62" t="s">
        <v>9</v>
      </c>
      <c r="G11" s="62" t="s">
        <v>87</v>
      </c>
      <c r="H11" s="62" t="s">
        <v>8</v>
      </c>
      <c r="I11" s="35">
        <f>IF(AND(A11&gt;=Dashboard!$B$2,A11&lt;EDATE(Dashboard!$B$2,1),D11&lt;&gt;""),E11,"")</f>
        <v>10000</v>
      </c>
      <c r="J11" s="43" t="str">
        <f t="shared" si="1"/>
        <v>#REF!</v>
      </c>
    </row>
    <row r="12" ht="15.75" customHeight="1">
      <c r="A12" s="61">
        <v>46227.0</v>
      </c>
      <c r="B12" s="62" t="s">
        <v>57</v>
      </c>
      <c r="C12" s="62" t="s">
        <v>8</v>
      </c>
      <c r="D12" s="62" t="s">
        <v>89</v>
      </c>
      <c r="E12" s="63">
        <v>145000.0</v>
      </c>
      <c r="F12" s="62" t="s">
        <v>18</v>
      </c>
      <c r="G12" s="62" t="s">
        <v>90</v>
      </c>
      <c r="H12" s="62" t="s">
        <v>8</v>
      </c>
      <c r="I12" s="35">
        <f>IF(AND(A12&gt;=Dashboard!$B$2,A12&lt;EDATE(Dashboard!$B$2,1),D12&lt;&gt;""),E12,"")</f>
        <v>145000</v>
      </c>
      <c r="J12" s="43" t="str">
        <f t="shared" si="1"/>
        <v>#REF!</v>
      </c>
    </row>
    <row r="13" ht="15.75" customHeight="1">
      <c r="A13" s="61">
        <v>46227.0</v>
      </c>
      <c r="B13" s="62" t="s">
        <v>91</v>
      </c>
      <c r="C13" s="62" t="s">
        <v>8</v>
      </c>
      <c r="D13" s="62" t="s">
        <v>92</v>
      </c>
      <c r="E13" s="63">
        <v>200000.0</v>
      </c>
      <c r="F13" s="62" t="s">
        <v>9</v>
      </c>
      <c r="G13" s="62" t="s">
        <v>93</v>
      </c>
      <c r="H13" s="62" t="s">
        <v>91</v>
      </c>
      <c r="I13" s="35">
        <f>IF(AND(A13&gt;=Dashboard!$B$2,A13&lt;EDATE(Dashboard!$B$2,1),D13&lt;&gt;""),E13,"")</f>
        <v>200000</v>
      </c>
      <c r="J13" s="43" t="str">
        <f t="shared" si="1"/>
        <v>#REF!</v>
      </c>
    </row>
    <row r="14" ht="15.75" customHeight="1">
      <c r="A14" s="61">
        <v>46227.0</v>
      </c>
      <c r="B14" s="62" t="s">
        <v>23</v>
      </c>
      <c r="C14" s="62" t="s">
        <v>8</v>
      </c>
      <c r="D14" s="62" t="s">
        <v>94</v>
      </c>
      <c r="E14" s="63">
        <v>30000.0</v>
      </c>
      <c r="F14" s="62" t="s">
        <v>9</v>
      </c>
      <c r="G14" s="62" t="s">
        <v>95</v>
      </c>
      <c r="H14" s="62" t="s">
        <v>8</v>
      </c>
      <c r="I14" s="35">
        <f>IF(AND(A14&gt;=Dashboard!$B$2,A14&lt;EDATE(Dashboard!$B$2,1),D14&lt;&gt;""),E14,"")</f>
        <v>30000</v>
      </c>
      <c r="J14" s="43" t="str">
        <f t="shared" si="1"/>
        <v>#REF!</v>
      </c>
    </row>
    <row r="15" ht="15.75" customHeight="1">
      <c r="A15" s="61">
        <v>46227.0</v>
      </c>
      <c r="B15" s="62" t="s">
        <v>46</v>
      </c>
      <c r="C15" s="62" t="s">
        <v>8</v>
      </c>
      <c r="D15" s="62" t="s">
        <v>96</v>
      </c>
      <c r="E15" s="63">
        <v>12000.0</v>
      </c>
      <c r="F15" s="62" t="s">
        <v>9</v>
      </c>
      <c r="G15" s="62" t="s">
        <v>95</v>
      </c>
      <c r="H15" s="62" t="s">
        <v>8</v>
      </c>
      <c r="I15" s="35">
        <f>IF(AND(A15&gt;=Dashboard!$B$2,A15&lt;EDATE(Dashboard!$B$2,1),D15&lt;&gt;""),E15,"")</f>
        <v>12000</v>
      </c>
      <c r="J15" s="43" t="str">
        <f t="shared" si="1"/>
        <v>#REF!</v>
      </c>
    </row>
    <row r="16" ht="15.75" customHeight="1">
      <c r="A16" s="65">
        <v>46228.0</v>
      </c>
      <c r="B16" s="66" t="s">
        <v>68</v>
      </c>
      <c r="C16" s="66" t="s">
        <v>8</v>
      </c>
      <c r="D16" s="66" t="s">
        <v>41</v>
      </c>
      <c r="E16" s="67">
        <v>50000.0</v>
      </c>
      <c r="F16" s="66" t="s">
        <v>40</v>
      </c>
      <c r="G16" s="68"/>
      <c r="H16" s="66" t="s">
        <v>8</v>
      </c>
      <c r="I16" s="35">
        <f>IF(AND(A16&gt;=Dashboard!$B$2,A16&lt;EDATE(Dashboard!$B$2,1),D16&lt;&gt;""),E16,"")</f>
        <v>50000</v>
      </c>
      <c r="J16" s="43" t="str">
        <f t="shared" si="1"/>
        <v>#REF!</v>
      </c>
    </row>
    <row r="17" ht="15.75" customHeight="1">
      <c r="A17" s="69">
        <v>46228.0</v>
      </c>
      <c r="B17" s="66" t="s">
        <v>7</v>
      </c>
      <c r="C17" s="66" t="s">
        <v>8</v>
      </c>
      <c r="D17" s="66" t="s">
        <v>97</v>
      </c>
      <c r="E17" s="67">
        <v>20000.0</v>
      </c>
      <c r="F17" s="66" t="s">
        <v>40</v>
      </c>
      <c r="G17" s="66" t="s">
        <v>98</v>
      </c>
      <c r="H17" s="66" t="s">
        <v>8</v>
      </c>
      <c r="I17" s="35">
        <f>IF(AND(A17&gt;=Dashboard!$B$2,A17&lt;EDATE(Dashboard!$B$2,1),D17&lt;&gt;""),E17,"")</f>
        <v>20000</v>
      </c>
      <c r="J17" s="43" t="str">
        <f t="shared" si="1"/>
        <v>#REF!</v>
      </c>
    </row>
    <row r="18" ht="15.75" customHeight="1">
      <c r="A18" s="69">
        <v>46228.0</v>
      </c>
      <c r="B18" s="66" t="s">
        <v>7</v>
      </c>
      <c r="C18" s="66" t="s">
        <v>99</v>
      </c>
      <c r="D18" s="66" t="s">
        <v>97</v>
      </c>
      <c r="E18" s="67">
        <v>10000.0</v>
      </c>
      <c r="F18" s="66" t="s">
        <v>40</v>
      </c>
      <c r="G18" s="66" t="s">
        <v>100</v>
      </c>
      <c r="H18" s="66" t="s">
        <v>99</v>
      </c>
      <c r="I18" s="35">
        <f>IF(AND(A18&gt;=Dashboard!$B$2,A18&lt;EDATE(Dashboard!$B$2,1),D18&lt;&gt;""),E18,"")</f>
        <v>10000</v>
      </c>
      <c r="J18" s="43" t="str">
        <f t="shared" si="1"/>
        <v>#REF!</v>
      </c>
    </row>
    <row r="19" ht="15.75" customHeight="1">
      <c r="A19" s="69">
        <v>46228.0</v>
      </c>
      <c r="B19" s="66" t="s">
        <v>7</v>
      </c>
      <c r="C19" s="66" t="s">
        <v>101</v>
      </c>
      <c r="D19" s="66" t="s">
        <v>102</v>
      </c>
      <c r="E19" s="67">
        <v>38000.0</v>
      </c>
      <c r="F19" s="66" t="s">
        <v>40</v>
      </c>
      <c r="G19" s="66" t="s">
        <v>103</v>
      </c>
      <c r="H19" s="66" t="s">
        <v>101</v>
      </c>
      <c r="I19" s="35">
        <f>IF(AND(A19&gt;=Dashboard!$B$2,A19&lt;EDATE(Dashboard!$B$2,1),D19&lt;&gt;""),E19,"")</f>
        <v>38000</v>
      </c>
      <c r="J19" s="43" t="str">
        <f t="shared" si="1"/>
        <v>#REF!</v>
      </c>
    </row>
    <row r="20" ht="15.75" customHeight="1">
      <c r="A20" s="69">
        <v>46228.0</v>
      </c>
      <c r="B20" s="66" t="s">
        <v>46</v>
      </c>
      <c r="C20" s="66" t="s">
        <v>101</v>
      </c>
      <c r="D20" s="66" t="s">
        <v>104</v>
      </c>
      <c r="E20" s="67">
        <v>20000.0</v>
      </c>
      <c r="F20" s="66" t="s">
        <v>40</v>
      </c>
      <c r="G20" s="66" t="s">
        <v>105</v>
      </c>
      <c r="H20" s="66" t="s">
        <v>101</v>
      </c>
      <c r="I20" s="35">
        <f>IF(AND(A20&gt;=Dashboard!$B$2,A20&lt;EDATE(Dashboard!$B$2,1),D20&lt;&gt;""),E20,"")</f>
        <v>20000</v>
      </c>
      <c r="J20" s="43" t="str">
        <f t="shared" si="1"/>
        <v>#REF!</v>
      </c>
    </row>
    <row r="21" ht="15.75" customHeight="1">
      <c r="A21" s="69">
        <v>46228.0</v>
      </c>
      <c r="B21" s="66" t="s">
        <v>70</v>
      </c>
      <c r="C21" s="66" t="s">
        <v>17</v>
      </c>
      <c r="D21" s="66" t="s">
        <v>106</v>
      </c>
      <c r="E21" s="67">
        <v>50000.0</v>
      </c>
      <c r="F21" s="66" t="s">
        <v>40</v>
      </c>
      <c r="G21" s="66" t="s">
        <v>98</v>
      </c>
      <c r="H21" s="66"/>
      <c r="I21" s="35">
        <f>IF(AND(A21&gt;=Dashboard!$B$2,A21&lt;EDATE(Dashboard!$B$2,1),D21&lt;&gt;""),E21,"")</f>
        <v>50000</v>
      </c>
      <c r="J21" s="43" t="str">
        <f t="shared" si="1"/>
        <v>#REF!</v>
      </c>
    </row>
    <row r="22" ht="15.75" customHeight="1">
      <c r="A22" s="69">
        <v>46228.0</v>
      </c>
      <c r="B22" s="66" t="s">
        <v>107</v>
      </c>
      <c r="C22" s="66" t="s">
        <v>108</v>
      </c>
      <c r="D22" s="66" t="s">
        <v>57</v>
      </c>
      <c r="E22" s="67">
        <v>60000.0</v>
      </c>
      <c r="F22" s="66" t="s">
        <v>109</v>
      </c>
      <c r="G22" s="66" t="s">
        <v>110</v>
      </c>
      <c r="H22" s="66"/>
      <c r="I22" s="35">
        <f>IF(AND(A22&gt;=Dashboard!$B$2,A22&lt;EDATE(Dashboard!$B$2,1),D22&lt;&gt;""),E22,"")</f>
        <v>60000</v>
      </c>
      <c r="J22" s="43" t="str">
        <f t="shared" si="1"/>
        <v>#REF!</v>
      </c>
    </row>
    <row r="23" ht="15.75" customHeight="1">
      <c r="A23" s="70">
        <v>46229.0</v>
      </c>
      <c r="B23" s="62" t="s">
        <v>7</v>
      </c>
      <c r="C23" s="62" t="s">
        <v>17</v>
      </c>
      <c r="D23" s="62" t="s">
        <v>111</v>
      </c>
      <c r="E23" s="63">
        <v>120000.0</v>
      </c>
      <c r="F23" s="62" t="s">
        <v>40</v>
      </c>
      <c r="G23" s="62" t="s">
        <v>112</v>
      </c>
      <c r="H23" s="62"/>
      <c r="I23" s="35">
        <f>IF(AND(A23&gt;=Dashboard!$B$2,A23&lt;EDATE(Dashboard!$B$2,1),D23&lt;&gt;""),E23,"")</f>
        <v>120000</v>
      </c>
      <c r="J23" s="43" t="str">
        <f t="shared" si="1"/>
        <v>#REF!</v>
      </c>
    </row>
    <row r="24" ht="15.75" customHeight="1">
      <c r="A24" s="61">
        <v>46229.0</v>
      </c>
      <c r="B24" s="62" t="s">
        <v>68</v>
      </c>
      <c r="C24" s="62" t="s">
        <v>8</v>
      </c>
      <c r="D24" s="62" t="s">
        <v>41</v>
      </c>
      <c r="E24" s="63">
        <v>30000.0</v>
      </c>
      <c r="F24" s="62" t="s">
        <v>40</v>
      </c>
      <c r="G24" s="62"/>
      <c r="H24" s="62"/>
      <c r="I24" s="35">
        <f>IF(AND(A24&gt;=Dashboard!$B$2,A24&lt;EDATE(Dashboard!$B$2,1),D24&lt;&gt;""),E24,"")</f>
        <v>30000</v>
      </c>
      <c r="J24" s="43" t="str">
        <f t="shared" si="1"/>
        <v>#REF!</v>
      </c>
    </row>
    <row r="25" ht="15.75" customHeight="1">
      <c r="A25" s="65">
        <v>46230.0</v>
      </c>
      <c r="B25" s="66" t="s">
        <v>57</v>
      </c>
      <c r="C25" s="66" t="s">
        <v>8</v>
      </c>
      <c r="D25" s="66" t="s">
        <v>113</v>
      </c>
      <c r="E25" s="67">
        <v>145000.0</v>
      </c>
      <c r="F25" s="66" t="s">
        <v>9</v>
      </c>
      <c r="G25" s="66" t="s">
        <v>114</v>
      </c>
      <c r="H25" s="66" t="s">
        <v>8</v>
      </c>
      <c r="I25" s="35">
        <f>IF(AND(A25&gt;=Dashboard!$B$2,A25&lt;EDATE(Dashboard!$B$2,1),D25&lt;&gt;""),E25,"")</f>
        <v>145000</v>
      </c>
      <c r="J25" s="43" t="str">
        <f t="shared" si="1"/>
        <v>#REF!</v>
      </c>
    </row>
    <row r="26" ht="15.75" customHeight="1">
      <c r="A26" s="69">
        <v>46230.0</v>
      </c>
      <c r="B26" s="66" t="s">
        <v>57</v>
      </c>
      <c r="C26" s="66" t="s">
        <v>8</v>
      </c>
      <c r="D26" s="66" t="s">
        <v>115</v>
      </c>
      <c r="E26" s="67">
        <v>18000.0</v>
      </c>
      <c r="F26" s="66" t="s">
        <v>18</v>
      </c>
      <c r="G26" s="66" t="s">
        <v>116</v>
      </c>
      <c r="H26" s="66" t="s">
        <v>8</v>
      </c>
      <c r="I26" s="35">
        <f>IF(AND(A26&gt;=Dashboard!$B$2,A26&lt;EDATE(Dashboard!$B$2,1),D26&lt;&gt;""),E26,"")</f>
        <v>18000</v>
      </c>
      <c r="J26" s="43" t="str">
        <f t="shared" si="1"/>
        <v>#REF!</v>
      </c>
    </row>
    <row r="27" ht="15.75" customHeight="1">
      <c r="A27" s="69">
        <v>46230.0</v>
      </c>
      <c r="B27" s="66" t="s">
        <v>38</v>
      </c>
      <c r="C27" s="66" t="s">
        <v>8</v>
      </c>
      <c r="D27" s="66" t="s">
        <v>19</v>
      </c>
      <c r="E27" s="67">
        <v>29000.0</v>
      </c>
      <c r="F27" s="66" t="s">
        <v>18</v>
      </c>
      <c r="G27" s="66" t="s">
        <v>76</v>
      </c>
      <c r="H27" s="66" t="s">
        <v>8</v>
      </c>
      <c r="I27" s="35">
        <f>IF(AND(A27&gt;=Dashboard!$B$2,A27&lt;EDATE(Dashboard!$B$2,1),D27&lt;&gt;""),E27,"")</f>
        <v>29000</v>
      </c>
      <c r="J27" s="43" t="str">
        <f t="shared" si="1"/>
        <v>#REF!</v>
      </c>
    </row>
    <row r="28" ht="15.75" customHeight="1">
      <c r="A28" s="69">
        <v>46230.0</v>
      </c>
      <c r="B28" s="66" t="s">
        <v>15</v>
      </c>
      <c r="C28" s="66" t="s">
        <v>8</v>
      </c>
      <c r="D28" s="66" t="s">
        <v>26</v>
      </c>
      <c r="E28" s="67">
        <v>27000.0</v>
      </c>
      <c r="F28" s="66" t="s">
        <v>25</v>
      </c>
      <c r="G28" s="66" t="s">
        <v>78</v>
      </c>
      <c r="H28" s="66"/>
      <c r="I28" s="35">
        <f>IF(AND(A28&gt;=Dashboard!$B$2,A28&lt;EDATE(Dashboard!$B$2,1),D28&lt;&gt;""),E28,"")</f>
        <v>27000</v>
      </c>
      <c r="J28" s="43" t="str">
        <f t="shared" si="1"/>
        <v>#REF!</v>
      </c>
    </row>
    <row r="29" ht="15.75" customHeight="1">
      <c r="A29" s="69">
        <v>46230.0</v>
      </c>
      <c r="B29" s="66" t="s">
        <v>70</v>
      </c>
      <c r="C29" s="66" t="s">
        <v>8</v>
      </c>
      <c r="D29" s="66" t="s">
        <v>117</v>
      </c>
      <c r="E29" s="67">
        <v>12000.0</v>
      </c>
      <c r="F29" s="66" t="s">
        <v>25</v>
      </c>
      <c r="G29" s="66" t="s">
        <v>78</v>
      </c>
      <c r="H29" s="66"/>
      <c r="I29" s="35">
        <f>IF(AND(A29&gt;=Dashboard!$B$2,A29&lt;EDATE(Dashboard!$B$2,1),D29&lt;&gt;""),E29,"")</f>
        <v>12000</v>
      </c>
      <c r="J29" s="43" t="str">
        <f t="shared" si="1"/>
        <v>#REF!</v>
      </c>
    </row>
    <row r="30" ht="15.75" customHeight="1">
      <c r="A30" s="69">
        <v>46230.0</v>
      </c>
      <c r="B30" s="66" t="s">
        <v>68</v>
      </c>
      <c r="C30" s="66" t="s">
        <v>8</v>
      </c>
      <c r="D30" s="66" t="s">
        <v>41</v>
      </c>
      <c r="E30" s="67">
        <v>40000.0</v>
      </c>
      <c r="F30" s="66" t="s">
        <v>40</v>
      </c>
      <c r="G30" s="66"/>
      <c r="H30" s="66"/>
      <c r="I30" s="35">
        <f>IF(AND(A30&gt;=Dashboard!$B$2,A30&lt;EDATE(Dashboard!$B$2,1),D30&lt;&gt;""),E30,"")</f>
        <v>40000</v>
      </c>
      <c r="J30" s="43" t="str">
        <f t="shared" si="1"/>
        <v>#REF!</v>
      </c>
    </row>
    <row r="31" ht="15.75" customHeight="1">
      <c r="A31" s="70">
        <v>46231.0</v>
      </c>
      <c r="B31" s="62" t="s">
        <v>68</v>
      </c>
      <c r="C31" s="62" t="s">
        <v>8</v>
      </c>
      <c r="D31" s="62" t="s">
        <v>41</v>
      </c>
      <c r="E31" s="63">
        <v>200000.0</v>
      </c>
      <c r="F31" s="62" t="s">
        <v>40</v>
      </c>
      <c r="G31" s="62"/>
      <c r="H31" s="62"/>
      <c r="I31" s="35">
        <f>IF(AND(A31&gt;=Dashboard!$B$2,A31&lt;EDATE(Dashboard!$B$2,1),D31&lt;&gt;""),E31,"")</f>
        <v>200000</v>
      </c>
      <c r="J31" s="43" t="str">
        <f t="shared" si="1"/>
        <v>#REF!</v>
      </c>
    </row>
    <row r="32" ht="15.75" customHeight="1">
      <c r="A32" s="61">
        <v>46231.0</v>
      </c>
      <c r="B32" s="62" t="s">
        <v>15</v>
      </c>
      <c r="C32" s="62" t="s">
        <v>8</v>
      </c>
      <c r="D32" s="62" t="s">
        <v>26</v>
      </c>
      <c r="E32" s="63">
        <v>27000.0</v>
      </c>
      <c r="F32" s="62" t="s">
        <v>25</v>
      </c>
      <c r="G32" s="62"/>
      <c r="H32" s="62"/>
      <c r="I32" s="35">
        <f>IF(AND(A32&gt;=Dashboard!$B$2,A32&lt;EDATE(Dashboard!$B$2,1),D32&lt;&gt;""),E32,"")</f>
        <v>27000</v>
      </c>
      <c r="J32" s="43" t="str">
        <f t="shared" si="1"/>
        <v>#REF!</v>
      </c>
    </row>
    <row r="33" ht="15.75" customHeight="1">
      <c r="A33" s="61">
        <v>46231.0</v>
      </c>
      <c r="B33" s="62" t="s">
        <v>46</v>
      </c>
      <c r="C33" s="62" t="s">
        <v>8</v>
      </c>
      <c r="D33" s="62" t="s">
        <v>121</v>
      </c>
      <c r="E33" s="63">
        <v>20000.0</v>
      </c>
      <c r="F33" s="62" t="s">
        <v>9</v>
      </c>
      <c r="G33" s="62"/>
      <c r="H33" s="62"/>
      <c r="I33" s="35">
        <f>IF(AND(A33&gt;=Dashboard!$B$2,A33&lt;EDATE(Dashboard!$B$2,1),D33&lt;&gt;""),E33,"")</f>
        <v>20000</v>
      </c>
      <c r="J33" s="43" t="str">
        <f t="shared" si="1"/>
        <v>#REF!</v>
      </c>
    </row>
    <row r="34" ht="15.75" customHeight="1">
      <c r="A34" s="61">
        <v>46231.0</v>
      </c>
      <c r="B34" s="62" t="s">
        <v>46</v>
      </c>
      <c r="C34" s="62" t="s">
        <v>8</v>
      </c>
      <c r="D34" s="62" t="s">
        <v>96</v>
      </c>
      <c r="E34" s="63">
        <v>12000.0</v>
      </c>
      <c r="F34" s="62" t="s">
        <v>9</v>
      </c>
      <c r="G34" s="62"/>
      <c r="H34" s="62"/>
      <c r="I34" s="35">
        <f>IF(AND(A34&gt;=Dashboard!$B$2,A34&lt;EDATE(Dashboard!$B$2,1),D34&lt;&gt;""),E34,"")</f>
        <v>12000</v>
      </c>
      <c r="J34" s="43" t="str">
        <f t="shared" si="1"/>
        <v>#REF!</v>
      </c>
    </row>
    <row r="35" ht="15.75" customHeight="1">
      <c r="A35" s="65">
        <v>46232.0</v>
      </c>
      <c r="B35" s="66" t="s">
        <v>38</v>
      </c>
      <c r="C35" s="66" t="s">
        <v>8</v>
      </c>
      <c r="D35" s="66" t="s">
        <v>19</v>
      </c>
      <c r="E35" s="67">
        <v>29000.0</v>
      </c>
      <c r="F35" s="66" t="s">
        <v>122</v>
      </c>
      <c r="G35" s="66" t="s">
        <v>76</v>
      </c>
      <c r="H35" s="66" t="s">
        <v>8</v>
      </c>
      <c r="I35" s="35">
        <f>IF(AND(A35&gt;=Dashboard!$B$2,A35&lt;EDATE(Dashboard!$B$2,1),D35&lt;&gt;""),E35,"")</f>
        <v>29000</v>
      </c>
      <c r="J35" s="43" t="str">
        <f t="shared" si="1"/>
        <v>#REF!</v>
      </c>
    </row>
    <row r="36" ht="15.75" customHeight="1">
      <c r="A36" s="69">
        <v>46232.0</v>
      </c>
      <c r="B36" s="66" t="s">
        <v>15</v>
      </c>
      <c r="C36" s="66" t="s">
        <v>8</v>
      </c>
      <c r="D36" s="66" t="s">
        <v>26</v>
      </c>
      <c r="E36" s="67">
        <v>27000.0</v>
      </c>
      <c r="F36" s="66" t="s">
        <v>25</v>
      </c>
      <c r="G36" s="66" t="s">
        <v>78</v>
      </c>
      <c r="H36" s="66" t="s">
        <v>8</v>
      </c>
      <c r="I36" s="35">
        <f>IF(AND(A36&gt;=Dashboard!$B$2,A36&lt;EDATE(Dashboard!$B$2,1),D36&lt;&gt;""),E36,"")</f>
        <v>27000</v>
      </c>
      <c r="J36" s="43" t="str">
        <f t="shared" si="1"/>
        <v>#REF!</v>
      </c>
    </row>
    <row r="37" ht="15.75" customHeight="1">
      <c r="A37" s="69">
        <v>46232.0</v>
      </c>
      <c r="B37" s="66" t="s">
        <v>7</v>
      </c>
      <c r="C37" s="66" t="s">
        <v>8</v>
      </c>
      <c r="D37" s="66" t="s">
        <v>124</v>
      </c>
      <c r="E37" s="67">
        <v>26000.0</v>
      </c>
      <c r="F37" s="66" t="s">
        <v>9</v>
      </c>
      <c r="G37" s="66" t="s">
        <v>125</v>
      </c>
      <c r="H37" s="66" t="s">
        <v>8</v>
      </c>
      <c r="I37" s="35">
        <f>IF(AND(A37&gt;=Dashboard!$B$2,A37&lt;EDATE(Dashboard!$B$2,1),D37&lt;&gt;""),E37,"")</f>
        <v>26000</v>
      </c>
      <c r="J37" s="43" t="str">
        <f t="shared" si="1"/>
        <v>#REF!</v>
      </c>
    </row>
    <row r="38" ht="15.75" customHeight="1">
      <c r="A38" s="69">
        <v>46232.0</v>
      </c>
      <c r="B38" s="66" t="s">
        <v>23</v>
      </c>
      <c r="C38" s="66" t="s">
        <v>8</v>
      </c>
      <c r="D38" s="66" t="s">
        <v>26</v>
      </c>
      <c r="E38" s="67">
        <v>35000.0</v>
      </c>
      <c r="F38" s="66" t="s">
        <v>9</v>
      </c>
      <c r="G38" s="66" t="s">
        <v>127</v>
      </c>
      <c r="H38" s="66" t="s">
        <v>8</v>
      </c>
      <c r="I38" s="35">
        <f>IF(AND(A38&gt;=Dashboard!$B$2,A38&lt;EDATE(Dashboard!$B$2,1),D38&lt;&gt;""),E38,"")</f>
        <v>35000</v>
      </c>
      <c r="J38" s="43" t="str">
        <f t="shared" si="1"/>
        <v>#REF!</v>
      </c>
    </row>
    <row r="39" ht="15.75" customHeight="1">
      <c r="A39" s="69">
        <v>46232.0</v>
      </c>
      <c r="B39" s="66" t="s">
        <v>91</v>
      </c>
      <c r="C39" s="66" t="s">
        <v>8</v>
      </c>
      <c r="D39" s="66" t="s">
        <v>92</v>
      </c>
      <c r="E39" s="67">
        <v>200000.0</v>
      </c>
      <c r="F39" s="66" t="s">
        <v>9</v>
      </c>
      <c r="G39" s="66" t="s">
        <v>129</v>
      </c>
      <c r="H39" s="66"/>
      <c r="I39" s="35">
        <f>IF(AND(A39&gt;=Dashboard!$B$2,A39&lt;EDATE(Dashboard!$B$2,1),D39&lt;&gt;""),E39,"")</f>
        <v>200000</v>
      </c>
      <c r="J39" s="43" t="str">
        <f t="shared" si="1"/>
        <v>#REF!</v>
      </c>
    </row>
    <row r="40" ht="15.75" customHeight="1">
      <c r="A40" s="70">
        <v>46233.0</v>
      </c>
      <c r="B40" s="62" t="s">
        <v>7</v>
      </c>
      <c r="C40" s="62" t="s">
        <v>8</v>
      </c>
      <c r="D40" s="62" t="s">
        <v>130</v>
      </c>
      <c r="E40" s="63">
        <v>20000.0</v>
      </c>
      <c r="F40" s="62" t="s">
        <v>40</v>
      </c>
      <c r="G40" s="62" t="s">
        <v>131</v>
      </c>
      <c r="H40" s="62" t="s">
        <v>8</v>
      </c>
      <c r="I40" s="35">
        <f>IF(AND(A40&gt;=Dashboard!$B$2,A40&lt;EDATE(Dashboard!$B$2,1),D40&lt;&gt;""),E40,"")</f>
        <v>20000</v>
      </c>
      <c r="J40" s="43" t="str">
        <f t="shared" si="1"/>
        <v>#REF!</v>
      </c>
    </row>
    <row r="41" ht="15.75" customHeight="1">
      <c r="A41" s="61">
        <v>46233.0</v>
      </c>
      <c r="B41" s="62" t="s">
        <v>68</v>
      </c>
      <c r="C41" s="62" t="s">
        <v>8</v>
      </c>
      <c r="D41" s="62" t="s">
        <v>41</v>
      </c>
      <c r="E41" s="63">
        <v>50000.0</v>
      </c>
      <c r="F41" s="62" t="s">
        <v>9</v>
      </c>
      <c r="G41" s="62"/>
      <c r="H41" s="62" t="s">
        <v>8</v>
      </c>
      <c r="I41" s="35">
        <f>IF(AND(A41&gt;=Dashboard!$B$2,A41&lt;EDATE(Dashboard!$B$2,1),D41&lt;&gt;""),E41,"")</f>
        <v>50000</v>
      </c>
      <c r="J41" s="43" t="str">
        <f t="shared" si="1"/>
        <v>#REF!</v>
      </c>
    </row>
    <row r="42" ht="15.75" customHeight="1">
      <c r="A42" s="61">
        <v>46233.0</v>
      </c>
      <c r="B42" s="62" t="s">
        <v>38</v>
      </c>
      <c r="C42" s="62" t="s">
        <v>8</v>
      </c>
      <c r="D42" s="62" t="s">
        <v>132</v>
      </c>
      <c r="E42" s="63">
        <v>26000.0</v>
      </c>
      <c r="F42" s="62" t="s">
        <v>9</v>
      </c>
      <c r="G42" s="62" t="s">
        <v>133</v>
      </c>
      <c r="H42" s="62" t="s">
        <v>8</v>
      </c>
      <c r="I42" s="35">
        <f>IF(AND(A42&gt;=Dashboard!$B$2,A42&lt;EDATE(Dashboard!$B$2,1),D42&lt;&gt;""),E42,"")</f>
        <v>26000</v>
      </c>
      <c r="J42" s="43" t="str">
        <f t="shared" si="1"/>
        <v>#REF!</v>
      </c>
    </row>
    <row r="43" ht="15.75" customHeight="1">
      <c r="A43" s="61">
        <v>46233.0</v>
      </c>
      <c r="B43" s="62" t="s">
        <v>68</v>
      </c>
      <c r="C43" s="62" t="s">
        <v>8</v>
      </c>
      <c r="D43" s="62" t="s">
        <v>41</v>
      </c>
      <c r="E43" s="63">
        <v>20000.0</v>
      </c>
      <c r="F43" s="62" t="s">
        <v>40</v>
      </c>
      <c r="G43" s="62"/>
      <c r="H43" s="62" t="s">
        <v>8</v>
      </c>
      <c r="I43" s="35">
        <f>IF(AND(A43&gt;=Dashboard!$B$2,A43&lt;EDATE(Dashboard!$B$2,1),D43&lt;&gt;""),E43,"")</f>
        <v>20000</v>
      </c>
      <c r="J43" s="43" t="str">
        <f t="shared" si="1"/>
        <v>#REF!</v>
      </c>
    </row>
    <row r="44" ht="15.75" customHeight="1">
      <c r="A44" s="81">
        <v>46233.0</v>
      </c>
      <c r="B44" s="62" t="s">
        <v>15</v>
      </c>
      <c r="C44" s="62" t="s">
        <v>8</v>
      </c>
      <c r="D44" s="62" t="s">
        <v>26</v>
      </c>
      <c r="E44" s="63">
        <v>27000.0</v>
      </c>
      <c r="F44" s="62" t="s">
        <v>25</v>
      </c>
      <c r="G44" s="62" t="s">
        <v>134</v>
      </c>
      <c r="H44" s="62" t="s">
        <v>8</v>
      </c>
      <c r="I44" s="35">
        <f>IF(AND(A44&gt;=Dashboard!$B$2,A44&lt;EDATE(Dashboard!$B$2,1),D44&lt;&gt;""),E44,"")</f>
        <v>27000</v>
      </c>
      <c r="J44" s="43" t="str">
        <f t="shared" si="1"/>
        <v>#REF!</v>
      </c>
    </row>
    <row r="45" ht="15.75" customHeight="1">
      <c r="A45" s="61">
        <v>46233.0</v>
      </c>
      <c r="B45" s="62" t="s">
        <v>23</v>
      </c>
      <c r="C45" s="62" t="s">
        <v>8</v>
      </c>
      <c r="D45" s="62" t="s">
        <v>135</v>
      </c>
      <c r="E45" s="63">
        <v>35000.0</v>
      </c>
      <c r="F45" s="62" t="s">
        <v>9</v>
      </c>
      <c r="G45" s="62" t="s">
        <v>136</v>
      </c>
      <c r="H45" s="62" t="s">
        <v>8</v>
      </c>
      <c r="I45" s="35">
        <f>IF(AND(A45&gt;=Dashboard!$B$2,A45&lt;EDATE(Dashboard!$B$2,1),D45&lt;&gt;""),E45,"")</f>
        <v>35000</v>
      </c>
      <c r="J45" s="43" t="str">
        <f t="shared" si="1"/>
        <v>#REF!</v>
      </c>
    </row>
    <row r="46" ht="15.75" customHeight="1">
      <c r="A46" s="61">
        <v>46233.0</v>
      </c>
      <c r="B46" s="62" t="s">
        <v>68</v>
      </c>
      <c r="C46" s="62" t="s">
        <v>8</v>
      </c>
      <c r="D46" s="62" t="s">
        <v>137</v>
      </c>
      <c r="E46" s="63">
        <v>10000.0</v>
      </c>
      <c r="F46" s="62" t="s">
        <v>34</v>
      </c>
      <c r="G46" s="62"/>
      <c r="H46" s="62" t="s">
        <v>8</v>
      </c>
      <c r="I46" s="35">
        <f>IF(AND(A46&gt;=Dashboard!$B$2,A46&lt;EDATE(Dashboard!$B$2,1),D46&lt;&gt;""),E46,"")</f>
        <v>10000</v>
      </c>
      <c r="J46" s="43" t="str">
        <f t="shared" si="1"/>
        <v>#REF!</v>
      </c>
    </row>
    <row r="47" ht="15.75" customHeight="1">
      <c r="A47" s="69">
        <v>46234.0</v>
      </c>
      <c r="B47" s="66" t="s">
        <v>7</v>
      </c>
      <c r="C47" s="66" t="s">
        <v>8</v>
      </c>
      <c r="D47" s="66" t="s">
        <v>138</v>
      </c>
      <c r="E47" s="67">
        <v>14000.0</v>
      </c>
      <c r="F47" s="66" t="s">
        <v>9</v>
      </c>
      <c r="G47" s="66" t="s">
        <v>139</v>
      </c>
      <c r="H47" s="66" t="s">
        <v>8</v>
      </c>
      <c r="I47" s="35">
        <f>IF(AND(A47&gt;=Dashboard!$B$2,A47&lt;EDATE(Dashboard!$B$2,1),D47&lt;&gt;""),E47,"")</f>
        <v>14000</v>
      </c>
      <c r="J47" s="43" t="str">
        <f t="shared" si="1"/>
        <v>#REF!</v>
      </c>
    </row>
    <row r="48" ht="15.75" customHeight="1">
      <c r="A48" s="69">
        <v>46234.0</v>
      </c>
      <c r="B48" s="66" t="s">
        <v>68</v>
      </c>
      <c r="C48" s="66" t="s">
        <v>8</v>
      </c>
      <c r="D48" s="66" t="s">
        <v>41</v>
      </c>
      <c r="E48" s="67">
        <v>20000.0</v>
      </c>
      <c r="F48" s="66" t="s">
        <v>40</v>
      </c>
      <c r="G48" s="66"/>
      <c r="H48" s="66" t="s">
        <v>8</v>
      </c>
      <c r="I48" s="35">
        <f>IF(AND(A48&gt;=Dashboard!$B$2,A48&lt;EDATE(Dashboard!$B$2,1),D48&lt;&gt;""),E48,"")</f>
        <v>20000</v>
      </c>
      <c r="J48" s="43" t="str">
        <f t="shared" si="1"/>
        <v>#REF!</v>
      </c>
    </row>
    <row r="49" ht="15.75" customHeight="1">
      <c r="A49" s="69">
        <v>46234.0</v>
      </c>
      <c r="B49" s="66" t="s">
        <v>15</v>
      </c>
      <c r="C49" s="66" t="s">
        <v>8</v>
      </c>
      <c r="D49" s="66" t="s">
        <v>26</v>
      </c>
      <c r="E49" s="67">
        <v>40000.0</v>
      </c>
      <c r="F49" s="66" t="s">
        <v>9</v>
      </c>
      <c r="G49" s="66" t="s">
        <v>140</v>
      </c>
      <c r="H49" s="66" t="s">
        <v>8</v>
      </c>
      <c r="I49" s="35">
        <f>IF(AND(A49&gt;=Dashboard!$B$2,A49&lt;EDATE(Dashboard!$B$2,1),D49&lt;&gt;""),E49,"")</f>
        <v>40000</v>
      </c>
      <c r="J49" s="43" t="str">
        <f t="shared" si="1"/>
        <v>#REF!</v>
      </c>
    </row>
    <row r="50" ht="15.75" customHeight="1">
      <c r="A50" s="69">
        <v>46234.0</v>
      </c>
      <c r="B50" s="66" t="s">
        <v>23</v>
      </c>
      <c r="C50" s="66" t="s">
        <v>8</v>
      </c>
      <c r="D50" s="66" t="s">
        <v>124</v>
      </c>
      <c r="E50" s="67">
        <v>26000.0</v>
      </c>
      <c r="F50" s="66" t="s">
        <v>9</v>
      </c>
      <c r="G50" s="66" t="s">
        <v>141</v>
      </c>
      <c r="H50" s="66" t="s">
        <v>8</v>
      </c>
      <c r="I50" s="35">
        <f>IF(AND(A50&gt;=Dashboard!$B$2,A50&lt;EDATE(Dashboard!$B$2,1),D50&lt;&gt;""),E50,"")</f>
        <v>26000</v>
      </c>
      <c r="J50" s="43" t="str">
        <f t="shared" si="1"/>
        <v>#REF!</v>
      </c>
    </row>
    <row r="51" ht="15.75" customHeight="1">
      <c r="A51" s="69">
        <v>46234.0</v>
      </c>
      <c r="B51" s="66" t="s">
        <v>57</v>
      </c>
      <c r="C51" s="66" t="s">
        <v>8</v>
      </c>
      <c r="D51" s="66" t="s">
        <v>24</v>
      </c>
      <c r="E51" s="67">
        <v>145000.0</v>
      </c>
      <c r="F51" s="66" t="s">
        <v>18</v>
      </c>
      <c r="G51" s="66" t="s">
        <v>90</v>
      </c>
      <c r="H51" s="66" t="s">
        <v>8</v>
      </c>
      <c r="I51" s="35">
        <f>IF(AND(A51&gt;=Dashboard!$B$2,A51&lt;EDATE(Dashboard!$B$2,1),D51&lt;&gt;""),E51,"")</f>
        <v>145000</v>
      </c>
      <c r="J51" s="43" t="str">
        <f t="shared" si="1"/>
        <v>#REF!</v>
      </c>
    </row>
    <row r="52" ht="15.75" customHeight="1">
      <c r="A52" s="61">
        <v>46235.0</v>
      </c>
      <c r="B52" s="62" t="s">
        <v>7</v>
      </c>
      <c r="C52" s="62" t="s">
        <v>8</v>
      </c>
      <c r="D52" s="62" t="s">
        <v>97</v>
      </c>
      <c r="E52" s="63">
        <v>18000.0</v>
      </c>
      <c r="F52" s="62" t="s">
        <v>40</v>
      </c>
      <c r="G52" s="62" t="s">
        <v>98</v>
      </c>
      <c r="H52" s="62"/>
      <c r="I52" s="35">
        <f>IF(AND(A52&gt;=Dashboard!$B$2,A52&lt;EDATE(Dashboard!$B$2,1),D52&lt;&gt;""),E52,"")</f>
        <v>18000</v>
      </c>
      <c r="J52" s="43" t="str">
        <f t="shared" si="1"/>
        <v>#REF!</v>
      </c>
    </row>
    <row r="53" ht="15.75" customHeight="1">
      <c r="A53" s="61">
        <v>46235.0</v>
      </c>
      <c r="B53" s="62" t="s">
        <v>7</v>
      </c>
      <c r="C53" s="62" t="s">
        <v>142</v>
      </c>
      <c r="D53" s="62" t="s">
        <v>97</v>
      </c>
      <c r="E53" s="63">
        <v>10000.0</v>
      </c>
      <c r="F53" s="62" t="s">
        <v>40</v>
      </c>
      <c r="G53" s="62" t="s">
        <v>143</v>
      </c>
      <c r="H53" s="62"/>
      <c r="I53" s="35">
        <f>IF(AND(A53&gt;=Dashboard!$B$2,A53&lt;EDATE(Dashboard!$B$2,1),D53&lt;&gt;""),E53,"")</f>
        <v>10000</v>
      </c>
      <c r="J53" s="43" t="str">
        <f t="shared" si="1"/>
        <v>#REF!</v>
      </c>
    </row>
    <row r="54" ht="15.75" customHeight="1">
      <c r="A54" s="61">
        <v>46235.0</v>
      </c>
      <c r="B54" s="62" t="s">
        <v>7</v>
      </c>
      <c r="C54" s="62" t="s">
        <v>101</v>
      </c>
      <c r="D54" s="62" t="s">
        <v>26</v>
      </c>
      <c r="E54" s="63">
        <v>50000.0</v>
      </c>
      <c r="F54" s="62" t="s">
        <v>40</v>
      </c>
      <c r="G54" s="62" t="s">
        <v>144</v>
      </c>
      <c r="H54" s="62"/>
      <c r="I54" s="35">
        <f>IF(AND(A54&gt;=Dashboard!$B$2,A54&lt;EDATE(Dashboard!$B$2,1),D54&lt;&gt;""),E54,"")</f>
        <v>50000</v>
      </c>
      <c r="J54" s="43" t="str">
        <f t="shared" si="1"/>
        <v>#REF!</v>
      </c>
    </row>
    <row r="55" ht="15.75" customHeight="1">
      <c r="A55" s="61">
        <v>46235.0</v>
      </c>
      <c r="B55" s="62" t="s">
        <v>70</v>
      </c>
      <c r="C55" s="62" t="s">
        <v>17</v>
      </c>
      <c r="D55" s="62" t="s">
        <v>106</v>
      </c>
      <c r="E55" s="63">
        <v>50000.0</v>
      </c>
      <c r="F55" s="62" t="s">
        <v>40</v>
      </c>
      <c r="G55" s="62" t="s">
        <v>98</v>
      </c>
      <c r="H55" s="62"/>
      <c r="I55" s="35">
        <f>IF(AND(A55&gt;=Dashboard!$B$2,A55&lt;EDATE(Dashboard!$B$2,1),D55&lt;&gt;""),E55,"")</f>
        <v>50000</v>
      </c>
      <c r="J55" s="43" t="str">
        <f t="shared" si="1"/>
        <v>#REF!</v>
      </c>
    </row>
    <row r="56" ht="15.75" customHeight="1">
      <c r="A56" s="69">
        <v>46236.0</v>
      </c>
      <c r="B56" s="66" t="s">
        <v>7</v>
      </c>
      <c r="C56" s="66" t="s">
        <v>17</v>
      </c>
      <c r="D56" s="66" t="s">
        <v>145</v>
      </c>
      <c r="E56" s="67">
        <v>50000.0</v>
      </c>
      <c r="F56" s="66" t="s">
        <v>40</v>
      </c>
      <c r="G56" s="66" t="s">
        <v>143</v>
      </c>
      <c r="H56" s="66"/>
      <c r="I56" s="35">
        <f>IF(AND(A56&gt;=Dashboard!$B$2,A56&lt;EDATE(Dashboard!$B$2,1),D56&lt;&gt;""),E56,"")</f>
        <v>50000</v>
      </c>
      <c r="J56" s="43" t="str">
        <f t="shared" si="1"/>
        <v>#REF!</v>
      </c>
    </row>
    <row r="57" ht="15.75" customHeight="1">
      <c r="A57" s="69">
        <v>46236.0</v>
      </c>
      <c r="B57" s="66" t="s">
        <v>146</v>
      </c>
      <c r="C57" s="66" t="s">
        <v>17</v>
      </c>
      <c r="D57" s="66" t="s">
        <v>147</v>
      </c>
      <c r="E57" s="67">
        <v>60000.0</v>
      </c>
      <c r="F57" s="66" t="s">
        <v>40</v>
      </c>
      <c r="G57" s="66" t="s">
        <v>148</v>
      </c>
      <c r="H57" s="66"/>
      <c r="I57" s="35">
        <f>IF(AND(A57&gt;=Dashboard!$B$2,A57&lt;EDATE(Dashboard!$B$2,1),D57&lt;&gt;""),E57,"")</f>
        <v>60000</v>
      </c>
      <c r="J57" s="43" t="str">
        <f t="shared" si="1"/>
        <v>#REF!</v>
      </c>
    </row>
    <row r="58" ht="15.75" customHeight="1">
      <c r="A58" s="61">
        <v>46237.0</v>
      </c>
      <c r="B58" s="62" t="s">
        <v>7</v>
      </c>
      <c r="C58" s="62" t="s">
        <v>8</v>
      </c>
      <c r="D58" s="62" t="s">
        <v>149</v>
      </c>
      <c r="E58" s="63">
        <v>30000.0</v>
      </c>
      <c r="F58" s="62" t="s">
        <v>9</v>
      </c>
      <c r="G58" s="62" t="s">
        <v>139</v>
      </c>
      <c r="H58" s="62"/>
      <c r="I58" s="35">
        <f>IF(AND(A58&gt;=Dashboard!$B$2,A58&lt;EDATE(Dashboard!$B$2,1),D58&lt;&gt;""),E58,"")</f>
        <v>30000</v>
      </c>
      <c r="J58" s="43" t="str">
        <f t="shared" si="1"/>
        <v>#REF!</v>
      </c>
    </row>
    <row r="59" ht="15.75" customHeight="1">
      <c r="A59" s="61">
        <v>46237.0</v>
      </c>
      <c r="B59" s="62" t="s">
        <v>38</v>
      </c>
      <c r="C59" s="62" t="s">
        <v>8</v>
      </c>
      <c r="D59" s="62" t="s">
        <v>19</v>
      </c>
      <c r="E59" s="63">
        <v>29000.0</v>
      </c>
      <c r="F59" s="62" t="s">
        <v>150</v>
      </c>
      <c r="G59" s="62" t="s">
        <v>151</v>
      </c>
      <c r="H59" s="62"/>
      <c r="I59" s="35">
        <f>IF(AND(A64&gt;=Dashboard!$B$2,A64&lt;EDATE(Dashboard!$B$2,1),D59&lt;&gt;""),E59,"")</f>
        <v>29000</v>
      </c>
      <c r="J59" s="43" t="str">
        <f t="shared" si="1"/>
        <v>#REF!</v>
      </c>
    </row>
    <row r="60" ht="15.75" customHeight="1">
      <c r="A60" s="61">
        <v>46237.0</v>
      </c>
      <c r="B60" s="62" t="s">
        <v>15</v>
      </c>
      <c r="C60" s="62" t="s">
        <v>8</v>
      </c>
      <c r="D60" s="62" t="s">
        <v>26</v>
      </c>
      <c r="E60" s="63">
        <v>27000.0</v>
      </c>
      <c r="F60" s="62" t="s">
        <v>25</v>
      </c>
      <c r="G60" s="62" t="s">
        <v>134</v>
      </c>
      <c r="H60" s="62"/>
      <c r="I60" s="35">
        <f>IF(AND(A60&gt;=Dashboard!$B$2,A60&lt;EDATE(Dashboard!$B$2,1),D60&lt;&gt;""),E60,"")</f>
        <v>27000</v>
      </c>
      <c r="J60" s="43" t="str">
        <f t="shared" si="1"/>
        <v>#REF!</v>
      </c>
    </row>
    <row r="61" ht="15.75" customHeight="1">
      <c r="A61" s="61">
        <v>46237.0</v>
      </c>
      <c r="B61" s="62" t="s">
        <v>23</v>
      </c>
      <c r="C61" s="62" t="s">
        <v>8</v>
      </c>
      <c r="D61" s="62" t="s">
        <v>152</v>
      </c>
      <c r="E61" s="63">
        <v>30000.0</v>
      </c>
      <c r="F61" s="62" t="s">
        <v>9</v>
      </c>
      <c r="G61" s="62" t="s">
        <v>95</v>
      </c>
      <c r="H61" s="62"/>
      <c r="I61" s="35">
        <f>IF(AND(A61&gt;=Dashboard!$B$2,A61&lt;EDATE(Dashboard!$B$2,1),D61&lt;&gt;""),E61,"")</f>
        <v>30000</v>
      </c>
      <c r="J61" s="43" t="str">
        <f t="shared" si="1"/>
        <v>#REF!</v>
      </c>
    </row>
    <row r="62" ht="15.75" customHeight="1">
      <c r="A62" s="61">
        <v>46237.0</v>
      </c>
      <c r="B62" s="62" t="s">
        <v>146</v>
      </c>
      <c r="C62" s="62" t="s">
        <v>8</v>
      </c>
      <c r="D62" s="62" t="s">
        <v>121</v>
      </c>
      <c r="E62" s="63">
        <v>20000.0</v>
      </c>
      <c r="F62" s="62" t="s">
        <v>9</v>
      </c>
      <c r="G62" s="62" t="s">
        <v>87</v>
      </c>
      <c r="H62" s="62"/>
      <c r="I62" s="35">
        <f>IF(AND(A62&gt;=Dashboard!$B$2,A62&lt;EDATE(Dashboard!$B$2,1),D62&lt;&gt;""),E62,"")</f>
        <v>20000</v>
      </c>
      <c r="J62" s="43" t="str">
        <f t="shared" si="1"/>
        <v>#REF!</v>
      </c>
    </row>
    <row r="63" ht="15.75" customHeight="1">
      <c r="A63" s="61">
        <v>46237.0</v>
      </c>
      <c r="B63" s="62" t="s">
        <v>146</v>
      </c>
      <c r="C63" s="62" t="s">
        <v>8</v>
      </c>
      <c r="D63" s="62" t="s">
        <v>96</v>
      </c>
      <c r="E63" s="63">
        <v>12000.0</v>
      </c>
      <c r="F63" s="62" t="s">
        <v>9</v>
      </c>
      <c r="G63" s="62" t="s">
        <v>95</v>
      </c>
      <c r="H63" s="62"/>
      <c r="I63" s="35">
        <f>IF(AND(A63&gt;=Dashboard!$B$2,A63&lt;EDATE(Dashboard!$B$2,1),D63&lt;&gt;""),E63,"")</f>
        <v>12000</v>
      </c>
      <c r="J63" s="43" t="str">
        <f t="shared" si="1"/>
        <v>#REF!</v>
      </c>
    </row>
    <row r="64" ht="15.75" customHeight="1">
      <c r="A64" s="61">
        <v>46237.0</v>
      </c>
      <c r="B64" s="62" t="s">
        <v>68</v>
      </c>
      <c r="C64" s="62" t="s">
        <v>8</v>
      </c>
      <c r="D64" s="62" t="s">
        <v>41</v>
      </c>
      <c r="E64" s="63">
        <v>20000.0</v>
      </c>
      <c r="F64" s="62" t="s">
        <v>9</v>
      </c>
      <c r="G64" s="62"/>
      <c r="H64" s="62"/>
      <c r="I64" s="43" t="str">
        <f>IF(AND(#REF!&gt;=Dashboard!$B$2,#REF!&lt;EDATE(Dashboard!$B$2,1),D64&lt;&gt;""),E64,"")</f>
        <v>#REF!</v>
      </c>
      <c r="J64" s="43" t="str">
        <f t="shared" si="1"/>
        <v>#REF!</v>
      </c>
    </row>
    <row r="65" ht="15.75" customHeight="1">
      <c r="A65" s="61">
        <v>46237.0</v>
      </c>
      <c r="B65" s="62" t="s">
        <v>57</v>
      </c>
      <c r="C65" s="62" t="s">
        <v>8</v>
      </c>
      <c r="D65" s="62" t="s">
        <v>113</v>
      </c>
      <c r="E65" s="63">
        <v>145000.0</v>
      </c>
      <c r="F65" s="62" t="s">
        <v>9</v>
      </c>
      <c r="G65" s="62" t="s">
        <v>114</v>
      </c>
      <c r="H65" s="62" t="s">
        <v>8</v>
      </c>
      <c r="I65" s="43" t="str">
        <f>IF(AND(#REF!&gt;=Dashboard!$B$2,#REF!&lt;EDATE(Dashboard!$B$2,1),D65&lt;&gt;""),E65,"")</f>
        <v>#REF!</v>
      </c>
      <c r="J65" s="43" t="str">
        <f t="shared" si="1"/>
        <v>#REF!</v>
      </c>
    </row>
    <row r="66" ht="15.75" customHeight="1">
      <c r="A66" s="61">
        <v>46237.0</v>
      </c>
      <c r="B66" s="62" t="s">
        <v>57</v>
      </c>
      <c r="C66" s="62" t="s">
        <v>8</v>
      </c>
      <c r="D66" s="62" t="s">
        <v>115</v>
      </c>
      <c r="E66" s="63">
        <v>18000.0</v>
      </c>
      <c r="F66" s="62" t="s">
        <v>18</v>
      </c>
      <c r="G66" s="62" t="s">
        <v>116</v>
      </c>
      <c r="H66" s="62" t="s">
        <v>8</v>
      </c>
      <c r="I66" s="43" t="str">
        <f>IF(AND(#REF!&gt;=Dashboard!$B$2,#REF!&lt;EDATE(Dashboard!$B$2,1),D66&lt;&gt;""),E66,"")</f>
        <v>#REF!</v>
      </c>
      <c r="J66" s="43" t="str">
        <f t="shared" si="1"/>
        <v>#REF!</v>
      </c>
    </row>
    <row r="67" ht="15.75" customHeight="1">
      <c r="A67" s="69">
        <v>46238.0</v>
      </c>
      <c r="B67" s="66" t="s">
        <v>68</v>
      </c>
      <c r="C67" s="66" t="s">
        <v>8</v>
      </c>
      <c r="D67" s="66" t="s">
        <v>137</v>
      </c>
      <c r="E67" s="67">
        <v>10000.0</v>
      </c>
      <c r="F67" s="66" t="s">
        <v>34</v>
      </c>
      <c r="G67" s="66"/>
      <c r="H67" s="66" t="s">
        <v>8</v>
      </c>
      <c r="I67" s="35">
        <f>IF(AND(A67&gt;=Dashboard!$B$2,A67&lt;EDATE(Dashboard!$B$2,1),D67&lt;&gt;""),E67,"")</f>
        <v>10000</v>
      </c>
      <c r="J67" s="43" t="str">
        <f t="shared" si="1"/>
        <v>#REF!</v>
      </c>
    </row>
    <row r="68" ht="15.75" customHeight="1">
      <c r="A68" s="69">
        <v>46238.0</v>
      </c>
      <c r="B68" s="66" t="s">
        <v>68</v>
      </c>
      <c r="C68" s="66" t="s">
        <v>8</v>
      </c>
      <c r="D68" s="66" t="s">
        <v>41</v>
      </c>
      <c r="E68" s="67">
        <v>40000.0</v>
      </c>
      <c r="F68" s="66" t="s">
        <v>40</v>
      </c>
      <c r="G68" s="66"/>
      <c r="H68" s="66" t="s">
        <v>8</v>
      </c>
      <c r="I68" s="35">
        <f>IF(AND(A68&gt;=Dashboard!$B$2,A68&lt;EDATE(Dashboard!$B$2,1),D68&lt;&gt;""),E68,"")</f>
        <v>40000</v>
      </c>
      <c r="J68" s="43" t="str">
        <f t="shared" si="1"/>
        <v>#REF!</v>
      </c>
    </row>
    <row r="69" ht="15.75" customHeight="1">
      <c r="A69" s="85">
        <v>46238.0</v>
      </c>
      <c r="B69" s="86" t="s">
        <v>15</v>
      </c>
      <c r="C69" s="87" t="s">
        <v>8</v>
      </c>
      <c r="D69" s="86" t="s">
        <v>26</v>
      </c>
      <c r="E69" s="88">
        <v>40000.0</v>
      </c>
      <c r="F69" s="86" t="s">
        <v>9</v>
      </c>
      <c r="G69" s="66" t="s">
        <v>153</v>
      </c>
      <c r="H69" s="66" t="s">
        <v>8</v>
      </c>
      <c r="I69" s="35">
        <f>IF(AND(A69&gt;=Dashboard!$B$2,A69&lt;EDATE(Dashboard!$B$2,1),D69&lt;&gt;""),E69,"")</f>
        <v>40000</v>
      </c>
      <c r="J69" s="43" t="str">
        <f t="shared" si="1"/>
        <v>#REF!</v>
      </c>
    </row>
    <row r="70" ht="15.75" customHeight="1">
      <c r="A70" s="85">
        <v>46238.0</v>
      </c>
      <c r="B70" s="86" t="s">
        <v>23</v>
      </c>
      <c r="C70" s="87" t="s">
        <v>8</v>
      </c>
      <c r="D70" s="86" t="s">
        <v>154</v>
      </c>
      <c r="E70" s="88">
        <v>14000.0</v>
      </c>
      <c r="F70" s="86" t="s">
        <v>9</v>
      </c>
      <c r="G70" s="66" t="s">
        <v>155</v>
      </c>
      <c r="H70" s="66" t="s">
        <v>8</v>
      </c>
      <c r="I70" s="35">
        <f>IF(AND(A70&gt;=Dashboard!$B$2,A70&lt;EDATE(Dashboard!$B$2,1),D70&lt;&gt;""),E70,"")</f>
        <v>14000</v>
      </c>
      <c r="J70" s="43" t="str">
        <f t="shared" si="1"/>
        <v>#REF!</v>
      </c>
    </row>
    <row r="71" ht="15.75" customHeight="1">
      <c r="A71" s="85">
        <v>46238.0</v>
      </c>
      <c r="B71" s="86" t="s">
        <v>46</v>
      </c>
      <c r="C71" s="87" t="s">
        <v>8</v>
      </c>
      <c r="D71" s="86" t="s">
        <v>96</v>
      </c>
      <c r="E71" s="88">
        <v>12000.0</v>
      </c>
      <c r="F71" s="86" t="s">
        <v>9</v>
      </c>
      <c r="G71" s="66"/>
      <c r="H71" s="66" t="s">
        <v>8</v>
      </c>
      <c r="I71" s="35">
        <f>IF(AND(A71&gt;=Dashboard!$B$2,A71&lt;EDATE(Dashboard!$B$2,1),D71&lt;&gt;""),E71,"")</f>
        <v>12000</v>
      </c>
      <c r="J71" s="43" t="str">
        <f t="shared" si="1"/>
        <v>#REF!</v>
      </c>
    </row>
    <row r="72" ht="15.75" customHeight="1">
      <c r="A72" s="69">
        <v>46238.0</v>
      </c>
      <c r="B72" s="66" t="s">
        <v>38</v>
      </c>
      <c r="C72" s="66" t="s">
        <v>8</v>
      </c>
      <c r="D72" s="66" t="s">
        <v>19</v>
      </c>
      <c r="E72" s="67">
        <v>29000.0</v>
      </c>
      <c r="F72" s="66" t="s">
        <v>150</v>
      </c>
      <c r="G72" s="66" t="s">
        <v>151</v>
      </c>
      <c r="H72" s="66" t="s">
        <v>8</v>
      </c>
      <c r="I72" s="35">
        <f>IF(AND(A72&gt;=Dashboard!$B$2,A72&lt;EDATE(Dashboard!$B$2,1),D72&lt;&gt;""),E72,"")</f>
        <v>29000</v>
      </c>
      <c r="J72" s="43" t="str">
        <f t="shared" si="1"/>
        <v>#REF!</v>
      </c>
    </row>
    <row r="73" ht="15.75" customHeight="1">
      <c r="A73" s="69">
        <v>46238.0</v>
      </c>
      <c r="B73" s="66" t="s">
        <v>156</v>
      </c>
      <c r="C73" s="66" t="s">
        <v>17</v>
      </c>
      <c r="D73" s="66" t="s">
        <v>157</v>
      </c>
      <c r="E73" s="67">
        <v>1306195.0</v>
      </c>
      <c r="F73" s="66" t="s">
        <v>158</v>
      </c>
      <c r="G73" s="66"/>
      <c r="H73" s="66" t="s">
        <v>17</v>
      </c>
      <c r="I73" s="35">
        <f>IF(AND(A73&gt;=Dashboard!$B$2,A73&lt;EDATE(Dashboard!$B$2,1),D73&lt;&gt;""),E73,"")</f>
        <v>1306195</v>
      </c>
      <c r="J73" s="43" t="str">
        <f t="shared" si="1"/>
        <v>#REF!</v>
      </c>
    </row>
    <row r="74" ht="15.75" customHeight="1">
      <c r="A74" s="89">
        <v>46238.0</v>
      </c>
      <c r="B74" s="90" t="s">
        <v>72</v>
      </c>
      <c r="C74" s="66" t="s">
        <v>17</v>
      </c>
      <c r="D74" s="90" t="s">
        <v>159</v>
      </c>
      <c r="E74" s="91">
        <v>222962.0</v>
      </c>
      <c r="F74" s="90" t="s">
        <v>9</v>
      </c>
      <c r="G74" s="92"/>
      <c r="H74" s="66" t="s">
        <v>17</v>
      </c>
      <c r="I74" s="35">
        <f>IF(AND(A74&gt;=Dashboard!$B$2,A74&lt;EDATE(Dashboard!$B$2,1),D74&lt;&gt;""),E74,"")</f>
        <v>222962</v>
      </c>
      <c r="J74" s="43" t="str">
        <f t="shared" si="1"/>
        <v>#REF!</v>
      </c>
    </row>
    <row r="75" ht="15.75" customHeight="1">
      <c r="A75" s="61">
        <v>46239.0</v>
      </c>
      <c r="B75" s="62" t="s">
        <v>38</v>
      </c>
      <c r="C75" s="62" t="s">
        <v>8</v>
      </c>
      <c r="D75" s="62" t="s">
        <v>19</v>
      </c>
      <c r="E75" s="63">
        <v>29000.0</v>
      </c>
      <c r="F75" s="62" t="s">
        <v>150</v>
      </c>
      <c r="G75" s="62" t="s">
        <v>151</v>
      </c>
      <c r="H75" s="62" t="s">
        <v>8</v>
      </c>
      <c r="I75" s="35">
        <f>IF(AND(A75&gt;=Dashboard!$B$2,A75&lt;EDATE(Dashboard!$B$2,1),D75&lt;&gt;""),E75,"")</f>
        <v>29000</v>
      </c>
      <c r="J75" s="43" t="str">
        <f t="shared" si="1"/>
        <v>#REF!</v>
      </c>
    </row>
    <row r="76" ht="15.75" customHeight="1">
      <c r="A76" s="61">
        <v>46239.0</v>
      </c>
      <c r="B76" s="62" t="s">
        <v>7</v>
      </c>
      <c r="C76" s="62" t="s">
        <v>8</v>
      </c>
      <c r="D76" s="62" t="s">
        <v>160</v>
      </c>
      <c r="E76" s="63">
        <v>25000.0</v>
      </c>
      <c r="F76" s="62" t="s">
        <v>9</v>
      </c>
      <c r="G76" s="62" t="s">
        <v>161</v>
      </c>
      <c r="H76" s="62" t="s">
        <v>8</v>
      </c>
      <c r="I76" s="35">
        <f>IF(AND(A76&gt;=Dashboard!$B$2,A76&lt;EDATE(Dashboard!$B$2,1),D76&lt;&gt;""),E76,"")</f>
        <v>25000</v>
      </c>
      <c r="J76" s="43" t="str">
        <f t="shared" si="1"/>
        <v>#REF!</v>
      </c>
    </row>
    <row r="77" ht="15.75" customHeight="1">
      <c r="A77" s="61">
        <v>46239.0</v>
      </c>
      <c r="B77" s="62" t="s">
        <v>15</v>
      </c>
      <c r="C77" s="62" t="s">
        <v>8</v>
      </c>
      <c r="D77" s="62" t="s">
        <v>26</v>
      </c>
      <c r="E77" s="63">
        <v>27000.0</v>
      </c>
      <c r="F77" s="62" t="s">
        <v>25</v>
      </c>
      <c r="G77" s="62" t="s">
        <v>134</v>
      </c>
      <c r="H77" s="62" t="s">
        <v>8</v>
      </c>
      <c r="I77" s="35">
        <f>IF(AND(A77&gt;=Dashboard!$B$2,A77&lt;EDATE(Dashboard!$B$2,1),D77&lt;&gt;""),E77,"")</f>
        <v>27000</v>
      </c>
      <c r="J77" s="43" t="str">
        <f t="shared" si="1"/>
        <v>#REF!</v>
      </c>
    </row>
    <row r="78" ht="15.75" customHeight="1">
      <c r="A78" s="61">
        <v>46239.0</v>
      </c>
      <c r="B78" s="62" t="s">
        <v>23</v>
      </c>
      <c r="C78" s="62" t="s">
        <v>8</v>
      </c>
      <c r="D78" s="62" t="s">
        <v>26</v>
      </c>
      <c r="E78" s="63">
        <v>25000.0</v>
      </c>
      <c r="F78" s="62" t="s">
        <v>9</v>
      </c>
      <c r="G78" s="62" t="s">
        <v>162</v>
      </c>
      <c r="H78" s="62" t="s">
        <v>8</v>
      </c>
      <c r="I78" s="35">
        <f>IF(AND(A78&gt;=Dashboard!$B$2,A78&lt;EDATE(Dashboard!$B$2,1),D78&lt;&gt;""),E78,"")</f>
        <v>25000</v>
      </c>
      <c r="J78" s="43" t="str">
        <f t="shared" si="1"/>
        <v>#REF!</v>
      </c>
    </row>
    <row r="79" ht="15.75" customHeight="1">
      <c r="A79" s="61">
        <v>46239.0</v>
      </c>
      <c r="B79" s="62" t="s">
        <v>68</v>
      </c>
      <c r="C79" s="62" t="s">
        <v>8</v>
      </c>
      <c r="D79" s="62" t="s">
        <v>137</v>
      </c>
      <c r="E79" s="63">
        <v>10000.0</v>
      </c>
      <c r="F79" s="62" t="s">
        <v>34</v>
      </c>
      <c r="G79" s="62"/>
      <c r="H79" s="62" t="s">
        <v>8</v>
      </c>
      <c r="I79" s="35">
        <f>IF(AND(A79&gt;=Dashboard!$B$2,A79&lt;EDATE(Dashboard!$B$2,1),D79&lt;&gt;""),E79,"")</f>
        <v>10000</v>
      </c>
      <c r="J79" s="43" t="str">
        <f t="shared" si="1"/>
        <v>#REF!</v>
      </c>
    </row>
    <row r="80" ht="15.75" customHeight="1">
      <c r="A80" s="61">
        <v>46239.0</v>
      </c>
      <c r="B80" s="62" t="s">
        <v>68</v>
      </c>
      <c r="C80" s="62" t="s">
        <v>8</v>
      </c>
      <c r="D80" s="62" t="s">
        <v>41</v>
      </c>
      <c r="E80" s="63">
        <v>20000.0</v>
      </c>
      <c r="F80" s="62"/>
      <c r="G80" s="62"/>
      <c r="H80" s="62" t="s">
        <v>8</v>
      </c>
      <c r="I80" s="35">
        <f>IF(AND(A80&gt;=Dashboard!$B$2,A80&lt;EDATE(Dashboard!$B$2,1),D80&lt;&gt;""),E80,"")</f>
        <v>20000</v>
      </c>
      <c r="J80" s="43" t="str">
        <f t="shared" si="1"/>
        <v>#REF!</v>
      </c>
    </row>
    <row r="81" ht="15.75" customHeight="1">
      <c r="A81" s="69">
        <v>46240.0</v>
      </c>
      <c r="B81" s="66" t="s">
        <v>7</v>
      </c>
      <c r="C81" s="66" t="s">
        <v>8</v>
      </c>
      <c r="D81" s="66" t="s">
        <v>163</v>
      </c>
      <c r="E81" s="67">
        <v>30000.0</v>
      </c>
      <c r="F81" s="86" t="s">
        <v>9</v>
      </c>
      <c r="G81" s="66" t="s">
        <v>139</v>
      </c>
      <c r="H81" s="66" t="s">
        <v>8</v>
      </c>
      <c r="I81" s="35">
        <f>IF(AND(A81&gt;=Dashboard!$B$2,A81&lt;EDATE(Dashboard!$B$2,1),D81&lt;&gt;""),E81,"")</f>
        <v>30000</v>
      </c>
      <c r="J81" s="43" t="str">
        <f t="shared" si="1"/>
        <v>#REF!</v>
      </c>
    </row>
    <row r="82" ht="15.75" customHeight="1">
      <c r="A82" s="69">
        <v>46240.0</v>
      </c>
      <c r="B82" s="86" t="s">
        <v>15</v>
      </c>
      <c r="C82" s="66" t="s">
        <v>8</v>
      </c>
      <c r="D82" s="86" t="s">
        <v>26</v>
      </c>
      <c r="E82" s="67">
        <v>27000.0</v>
      </c>
      <c r="F82" s="66" t="s">
        <v>25</v>
      </c>
      <c r="G82" s="66" t="s">
        <v>134</v>
      </c>
      <c r="H82" s="66" t="s">
        <v>8</v>
      </c>
      <c r="I82" s="35">
        <f>IF(AND(A82&gt;=Dashboard!$B$2,A82&lt;EDATE(Dashboard!$B$2,1),D82&lt;&gt;""),E82,"")</f>
        <v>27000</v>
      </c>
      <c r="J82" s="43" t="str">
        <f t="shared" si="1"/>
        <v>#REF!</v>
      </c>
    </row>
    <row r="83" ht="15.75" customHeight="1">
      <c r="A83" s="69">
        <v>46240.0</v>
      </c>
      <c r="B83" s="86" t="s">
        <v>23</v>
      </c>
      <c r="C83" s="66" t="s">
        <v>8</v>
      </c>
      <c r="D83" s="66" t="s">
        <v>164</v>
      </c>
      <c r="E83" s="67">
        <v>45000.0</v>
      </c>
      <c r="F83" s="86" t="s">
        <v>9</v>
      </c>
      <c r="G83" s="66" t="s">
        <v>165</v>
      </c>
      <c r="H83" s="66" t="s">
        <v>8</v>
      </c>
      <c r="I83" s="35">
        <f>IF(AND(A83&gt;=Dashboard!$B$2,A83&lt;EDATE(Dashboard!$B$2,1),D83&lt;&gt;""),E83,"")</f>
        <v>45000</v>
      </c>
      <c r="J83" s="43" t="str">
        <f t="shared" si="1"/>
        <v>#REF!</v>
      </c>
    </row>
    <row r="84" ht="15.75" customHeight="1">
      <c r="A84" s="69">
        <v>46240.0</v>
      </c>
      <c r="B84" s="86" t="s">
        <v>46</v>
      </c>
      <c r="C84" s="66" t="s">
        <v>8</v>
      </c>
      <c r="D84" s="66" t="s">
        <v>121</v>
      </c>
      <c r="E84" s="67">
        <v>20000.0</v>
      </c>
      <c r="F84" s="86" t="s">
        <v>9</v>
      </c>
      <c r="G84" s="66" t="s">
        <v>87</v>
      </c>
      <c r="H84" s="66" t="s">
        <v>8</v>
      </c>
      <c r="I84" s="35">
        <f>IF(AND(A84&gt;=Dashboard!$B$2,A84&lt;EDATE(Dashboard!$B$2,1),D84&lt;&gt;""),E84,"")</f>
        <v>20000</v>
      </c>
      <c r="J84" s="43" t="str">
        <f t="shared" si="1"/>
        <v>#REF!</v>
      </c>
    </row>
    <row r="85" ht="15.75" customHeight="1">
      <c r="A85" s="69">
        <v>46240.0</v>
      </c>
      <c r="B85" s="66" t="s">
        <v>70</v>
      </c>
      <c r="C85" s="66" t="s">
        <v>8</v>
      </c>
      <c r="D85" s="66" t="s">
        <v>58</v>
      </c>
      <c r="E85" s="67">
        <v>22000.0</v>
      </c>
      <c r="F85" s="66" t="s">
        <v>150</v>
      </c>
      <c r="G85" s="66" t="s">
        <v>166</v>
      </c>
      <c r="H85" s="66" t="s">
        <v>8</v>
      </c>
      <c r="I85" s="35">
        <f>IF(AND(A85&gt;=Dashboard!$B$2,A85&lt;EDATE(Dashboard!$B$2,1),D85&lt;&gt;""),E85,"")</f>
        <v>22000</v>
      </c>
      <c r="J85" s="43" t="str">
        <f t="shared" si="1"/>
        <v>#REF!</v>
      </c>
    </row>
    <row r="86" ht="15.75" customHeight="1">
      <c r="A86" s="69">
        <v>46240.0</v>
      </c>
      <c r="B86" s="66" t="s">
        <v>68</v>
      </c>
      <c r="C86" s="66" t="s">
        <v>8</v>
      </c>
      <c r="D86" s="66" t="s">
        <v>41</v>
      </c>
      <c r="E86" s="67">
        <v>70000.0</v>
      </c>
      <c r="F86" s="66" t="s">
        <v>9</v>
      </c>
      <c r="G86" s="66"/>
      <c r="H86" s="66"/>
      <c r="I86" s="35">
        <f>IF(AND(A86&gt;=Dashboard!$B$2,A86&lt;EDATE(Dashboard!$B$2,1),D86&lt;&gt;""),E86,"")</f>
        <v>70000</v>
      </c>
      <c r="J86" s="43" t="str">
        <f t="shared" si="1"/>
        <v>#REF!</v>
      </c>
    </row>
    <row r="87" ht="15.75" customHeight="1">
      <c r="A87" s="61">
        <v>46241.0</v>
      </c>
      <c r="B87" s="62" t="s">
        <v>7</v>
      </c>
      <c r="C87" s="62" t="s">
        <v>8</v>
      </c>
      <c r="D87" s="62" t="s">
        <v>167</v>
      </c>
      <c r="E87" s="63">
        <v>10000.0</v>
      </c>
      <c r="F87" s="62" t="s">
        <v>168</v>
      </c>
      <c r="G87" s="62"/>
      <c r="H87" s="62"/>
      <c r="I87" s="35">
        <f>IF(AND(A87&gt;=Dashboard!$B$2,A87&lt;EDATE(Dashboard!$B$2,1),D87&lt;&gt;""),E87,"")</f>
        <v>10000</v>
      </c>
      <c r="J87" s="43" t="str">
        <f t="shared" si="1"/>
        <v>#REF!</v>
      </c>
    </row>
    <row r="88" ht="15.75" customHeight="1">
      <c r="A88" s="61">
        <v>46241.0</v>
      </c>
      <c r="B88" s="62" t="s">
        <v>38</v>
      </c>
      <c r="C88" s="62" t="s">
        <v>8</v>
      </c>
      <c r="D88" s="62" t="s">
        <v>19</v>
      </c>
      <c r="E88" s="63">
        <v>29000.0</v>
      </c>
      <c r="F88" s="62" t="s">
        <v>122</v>
      </c>
      <c r="G88" s="62" t="s">
        <v>76</v>
      </c>
      <c r="H88" s="62" t="s">
        <v>8</v>
      </c>
      <c r="I88" s="35">
        <f>IF(AND(A88&gt;=Dashboard!$B$2,A88&lt;EDATE(Dashboard!$B$2,1),D88&lt;&gt;""),E88,"")</f>
        <v>29000</v>
      </c>
      <c r="J88" s="43" t="str">
        <f t="shared" si="1"/>
        <v>#REF!</v>
      </c>
    </row>
    <row r="89" ht="15.75" customHeight="1">
      <c r="A89" s="61">
        <v>46241.0</v>
      </c>
      <c r="B89" s="62" t="s">
        <v>15</v>
      </c>
      <c r="C89" s="62" t="s">
        <v>8</v>
      </c>
      <c r="D89" s="62" t="s">
        <v>26</v>
      </c>
      <c r="E89" s="63">
        <v>27000.0</v>
      </c>
      <c r="F89" s="62" t="s">
        <v>25</v>
      </c>
      <c r="G89" s="62" t="s">
        <v>134</v>
      </c>
      <c r="H89" s="62" t="s">
        <v>8</v>
      </c>
      <c r="I89" s="35">
        <f>IF(AND(A89&gt;=Dashboard!$B$2,A89&lt;EDATE(Dashboard!$B$2,1),D89&lt;&gt;""),E89,"")</f>
        <v>27000</v>
      </c>
      <c r="J89" s="43" t="str">
        <f t="shared" si="1"/>
        <v>#REF!</v>
      </c>
    </row>
    <row r="90" ht="15.75" customHeight="1">
      <c r="A90" s="61">
        <v>46241.0</v>
      </c>
      <c r="B90" s="62" t="s">
        <v>57</v>
      </c>
      <c r="C90" s="62" t="s">
        <v>8</v>
      </c>
      <c r="D90" s="62" t="s">
        <v>24</v>
      </c>
      <c r="E90" s="63">
        <v>145000.0</v>
      </c>
      <c r="F90" s="62" t="s">
        <v>18</v>
      </c>
      <c r="G90" s="62" t="s">
        <v>90</v>
      </c>
      <c r="H90" s="62" t="s">
        <v>8</v>
      </c>
      <c r="I90" s="35">
        <f>IF(AND(A90&gt;=Dashboard!$B$2,A90&lt;EDATE(Dashboard!$B$2,1),D90&lt;&gt;""),E90,"")</f>
        <v>145000</v>
      </c>
      <c r="J90" s="43" t="str">
        <f t="shared" si="1"/>
        <v>#REF!</v>
      </c>
    </row>
    <row r="91" ht="15.75" customHeight="1">
      <c r="A91" s="61">
        <v>46241.0</v>
      </c>
      <c r="B91" s="62" t="s">
        <v>23</v>
      </c>
      <c r="C91" s="62" t="s">
        <v>8</v>
      </c>
      <c r="D91" s="62" t="s">
        <v>26</v>
      </c>
      <c r="E91" s="63">
        <v>30000.0</v>
      </c>
      <c r="F91" s="62" t="s">
        <v>9</v>
      </c>
      <c r="G91" s="62" t="s">
        <v>95</v>
      </c>
      <c r="H91" s="62" t="s">
        <v>8</v>
      </c>
      <c r="I91" s="35">
        <f>IF(AND(A91&gt;=Dashboard!$B$2,A91&lt;EDATE(Dashboard!$B$2,1),D91&lt;&gt;""),E91,"")</f>
        <v>30000</v>
      </c>
      <c r="J91" s="43" t="str">
        <f t="shared" si="1"/>
        <v>#REF!</v>
      </c>
    </row>
    <row r="92" ht="15.75" customHeight="1">
      <c r="A92" s="69">
        <v>46242.0</v>
      </c>
      <c r="B92" s="66" t="s">
        <v>7</v>
      </c>
      <c r="C92" s="66" t="s">
        <v>17</v>
      </c>
      <c r="D92" s="66" t="s">
        <v>97</v>
      </c>
      <c r="E92" s="67">
        <v>52000.0</v>
      </c>
      <c r="F92" s="66" t="s">
        <v>169</v>
      </c>
      <c r="G92" s="66" t="s">
        <v>98</v>
      </c>
      <c r="H92" s="66" t="s">
        <v>17</v>
      </c>
      <c r="I92" s="35">
        <f>IF(AND(A92&gt;=Dashboard!$B$2,A92&lt;EDATE(Dashboard!$B$2,1),D92&lt;&gt;""),E92,"")</f>
        <v>52000</v>
      </c>
      <c r="J92" s="43" t="str">
        <f t="shared" si="1"/>
        <v>#REF!</v>
      </c>
    </row>
    <row r="93" ht="15.75" customHeight="1">
      <c r="A93" s="69">
        <v>46242.0</v>
      </c>
      <c r="B93" s="66" t="s">
        <v>70</v>
      </c>
      <c r="C93" s="66" t="s">
        <v>17</v>
      </c>
      <c r="D93" s="66" t="s">
        <v>170</v>
      </c>
      <c r="E93" s="67">
        <v>50000.0</v>
      </c>
      <c r="F93" s="66" t="s">
        <v>169</v>
      </c>
      <c r="G93" s="66" t="s">
        <v>98</v>
      </c>
      <c r="H93" s="66" t="s">
        <v>17</v>
      </c>
      <c r="I93" s="35">
        <f>IF(AND(A93&gt;=Dashboard!$B$2,A93&lt;EDATE(Dashboard!$B$2,1),D93&lt;&gt;""),E93,"")</f>
        <v>50000</v>
      </c>
      <c r="J93" s="43" t="str">
        <f t="shared" si="1"/>
        <v>#REF!</v>
      </c>
    </row>
    <row r="94" ht="15.75" customHeight="1">
      <c r="A94" s="69">
        <v>46242.0</v>
      </c>
      <c r="B94" s="66" t="s">
        <v>70</v>
      </c>
      <c r="C94" s="66" t="s">
        <v>17</v>
      </c>
      <c r="D94" s="66" t="s">
        <v>171</v>
      </c>
      <c r="E94" s="67">
        <v>22000.0</v>
      </c>
      <c r="F94" s="66" t="s">
        <v>169</v>
      </c>
      <c r="G94" s="66" t="s">
        <v>172</v>
      </c>
      <c r="H94" s="66" t="s">
        <v>17</v>
      </c>
      <c r="I94" s="35">
        <f>IF(AND(A94&gt;=Dashboard!$B$2,A94&lt;EDATE(Dashboard!$B$2,1),D94&lt;&gt;""),E94,"")</f>
        <v>22000</v>
      </c>
      <c r="J94" s="43" t="str">
        <f t="shared" si="1"/>
        <v>#REF!</v>
      </c>
    </row>
    <row r="95" ht="15.75" customHeight="1">
      <c r="A95" s="69">
        <v>46242.0</v>
      </c>
      <c r="B95" s="66" t="s">
        <v>70</v>
      </c>
      <c r="C95" s="66" t="s">
        <v>17</v>
      </c>
      <c r="D95" s="66" t="s">
        <v>173</v>
      </c>
      <c r="E95" s="67">
        <v>15000.0</v>
      </c>
      <c r="F95" s="66" t="s">
        <v>169</v>
      </c>
      <c r="G95" s="66" t="s">
        <v>172</v>
      </c>
      <c r="H95" s="66" t="s">
        <v>17</v>
      </c>
      <c r="I95" s="35">
        <f>IF(AND(A95&gt;=Dashboard!$B$2,A95&lt;EDATE(Dashboard!$B$2,1),D95&lt;&gt;""),E95,"")</f>
        <v>15000</v>
      </c>
      <c r="J95" s="43" t="str">
        <f t="shared" si="1"/>
        <v>#REF!</v>
      </c>
    </row>
    <row r="96" ht="15.75" customHeight="1">
      <c r="A96" s="69">
        <v>46242.0</v>
      </c>
      <c r="B96" s="66" t="s">
        <v>68</v>
      </c>
      <c r="C96" s="66" t="s">
        <v>8</v>
      </c>
      <c r="D96" s="66" t="s">
        <v>41</v>
      </c>
      <c r="E96" s="67">
        <v>20000.0</v>
      </c>
      <c r="F96" s="66" t="s">
        <v>169</v>
      </c>
      <c r="G96" s="66"/>
      <c r="H96" s="66"/>
      <c r="I96" s="35">
        <f>IF(AND(A96&gt;=Dashboard!$B$2,A96&lt;EDATE(Dashboard!$B$2,1),D96&lt;&gt;""),E96,"")</f>
        <v>20000</v>
      </c>
      <c r="J96" s="43" t="str">
        <f t="shared" si="1"/>
        <v>#REF!</v>
      </c>
    </row>
    <row r="97" ht="15.75" customHeight="1">
      <c r="A97" s="61">
        <v>46243.0</v>
      </c>
      <c r="B97" s="62" t="s">
        <v>7</v>
      </c>
      <c r="C97" s="62" t="s">
        <v>174</v>
      </c>
      <c r="D97" s="62" t="s">
        <v>175</v>
      </c>
      <c r="E97" s="63">
        <v>27000.0</v>
      </c>
      <c r="F97" s="62" t="s">
        <v>169</v>
      </c>
      <c r="G97" s="62"/>
      <c r="H97" s="62" t="s">
        <v>17</v>
      </c>
      <c r="I97" s="35">
        <f>IF(AND(A97&gt;=Dashboard!$B$2,A97&lt;EDATE(Dashboard!$B$2,1),D97&lt;&gt;""),E97,"")</f>
        <v>27000</v>
      </c>
      <c r="J97" s="43" t="str">
        <f t="shared" si="1"/>
        <v>#REF!</v>
      </c>
    </row>
    <row r="98" ht="15.75" customHeight="1">
      <c r="A98" s="61">
        <v>46243.0</v>
      </c>
      <c r="B98" s="62" t="s">
        <v>70</v>
      </c>
      <c r="C98" s="62" t="s">
        <v>17</v>
      </c>
      <c r="D98" s="62" t="s">
        <v>173</v>
      </c>
      <c r="E98" s="63">
        <v>25000.0</v>
      </c>
      <c r="F98" s="62" t="s">
        <v>169</v>
      </c>
      <c r="G98" s="62" t="s">
        <v>172</v>
      </c>
      <c r="H98" s="62" t="s">
        <v>17</v>
      </c>
      <c r="I98" s="35">
        <f>IF(AND(A98&gt;=Dashboard!$B$2,A98&lt;EDATE(Dashboard!$B$2,1),D98&lt;&gt;""),E98,"")</f>
        <v>25000</v>
      </c>
      <c r="J98" s="43" t="str">
        <f t="shared" si="1"/>
        <v>#REF!</v>
      </c>
    </row>
    <row r="99" ht="15.75" customHeight="1">
      <c r="A99" s="61">
        <v>46243.0</v>
      </c>
      <c r="B99" s="62" t="s">
        <v>68</v>
      </c>
      <c r="C99" s="62" t="s">
        <v>8</v>
      </c>
      <c r="D99" s="62" t="s">
        <v>41</v>
      </c>
      <c r="E99" s="63">
        <v>50000.0</v>
      </c>
      <c r="F99" s="62" t="s">
        <v>169</v>
      </c>
      <c r="G99" s="62"/>
      <c r="H99" s="62"/>
      <c r="I99" s="35">
        <f>IF(AND(A99&gt;=Dashboard!$B$2,A99&lt;EDATE(Dashboard!$B$2,1),D99&lt;&gt;""),E99,"")</f>
        <v>50000</v>
      </c>
      <c r="J99" s="43" t="str">
        <f t="shared" si="1"/>
        <v>#REF!</v>
      </c>
    </row>
    <row r="100" ht="15.75" customHeight="1">
      <c r="A100" s="69">
        <v>46244.0</v>
      </c>
      <c r="B100" s="66" t="s">
        <v>7</v>
      </c>
      <c r="C100" s="66" t="s">
        <v>8</v>
      </c>
      <c r="D100" s="66" t="s">
        <v>176</v>
      </c>
      <c r="E100" s="67">
        <v>30000.0</v>
      </c>
      <c r="F100" s="66" t="s">
        <v>9</v>
      </c>
      <c r="G100" s="66"/>
      <c r="H100" s="66" t="s">
        <v>177</v>
      </c>
      <c r="I100" s="35">
        <f>IF(AND(A100&gt;=Dashboard!$B$2,A100&lt;EDATE(Dashboard!$B$2,1),D100&lt;&gt;""),E100,"")</f>
        <v>30000</v>
      </c>
      <c r="J100" s="43" t="str">
        <f t="shared" si="1"/>
        <v>#REF!</v>
      </c>
    </row>
    <row r="101" ht="15.75" customHeight="1">
      <c r="A101" s="69">
        <v>46244.0</v>
      </c>
      <c r="B101" s="66" t="s">
        <v>38</v>
      </c>
      <c r="C101" s="66" t="s">
        <v>8</v>
      </c>
      <c r="D101" s="66" t="s">
        <v>132</v>
      </c>
      <c r="E101" s="67">
        <v>29000.0</v>
      </c>
      <c r="F101" s="66" t="s">
        <v>158</v>
      </c>
      <c r="G101" s="66"/>
      <c r="H101" s="66" t="s">
        <v>177</v>
      </c>
      <c r="I101" s="35">
        <f>IF(AND(A101&gt;=Dashboard!$B$2,A101&lt;EDATE(Dashboard!$B$2,1),D101&lt;&gt;""),E101,"")</f>
        <v>29000</v>
      </c>
      <c r="J101" s="43" t="str">
        <f t="shared" si="1"/>
        <v>#REF!</v>
      </c>
    </row>
    <row r="102" ht="15.75" customHeight="1">
      <c r="A102" s="69">
        <v>46244.0</v>
      </c>
      <c r="B102" s="66" t="s">
        <v>57</v>
      </c>
      <c r="C102" s="66" t="s">
        <v>8</v>
      </c>
      <c r="D102" s="66" t="s">
        <v>113</v>
      </c>
      <c r="E102" s="67">
        <v>145000.0</v>
      </c>
      <c r="F102" s="66" t="s">
        <v>9</v>
      </c>
      <c r="G102" s="66" t="s">
        <v>114</v>
      </c>
      <c r="H102" s="66" t="s">
        <v>8</v>
      </c>
      <c r="I102" s="35">
        <f>IF(AND(A102&gt;=Dashboard!$B$2,A102&lt;EDATE(Dashboard!$B$2,1),D102&lt;&gt;""),E102,"")</f>
        <v>145000</v>
      </c>
      <c r="J102" s="43" t="str">
        <f t="shared" si="1"/>
        <v>#REF!</v>
      </c>
    </row>
    <row r="103" ht="15.75" customHeight="1">
      <c r="A103" s="69">
        <v>46244.0</v>
      </c>
      <c r="B103" s="66" t="s">
        <v>57</v>
      </c>
      <c r="C103" s="66" t="s">
        <v>8</v>
      </c>
      <c r="D103" s="66" t="s">
        <v>115</v>
      </c>
      <c r="E103" s="67">
        <v>18000.0</v>
      </c>
      <c r="F103" s="66" t="s">
        <v>18</v>
      </c>
      <c r="G103" s="66" t="s">
        <v>116</v>
      </c>
      <c r="H103" s="66" t="s">
        <v>8</v>
      </c>
      <c r="I103" s="35">
        <f>IF(AND(A103&gt;=Dashboard!$B$2,A103&lt;EDATE(Dashboard!$B$2,1),D103&lt;&gt;""),E103,"")</f>
        <v>18000</v>
      </c>
      <c r="J103" s="43" t="str">
        <f t="shared" si="1"/>
        <v>#REF!</v>
      </c>
    </row>
    <row r="104" ht="15.75" customHeight="1">
      <c r="A104" s="69">
        <v>46244.0</v>
      </c>
      <c r="B104" s="86" t="s">
        <v>15</v>
      </c>
      <c r="C104" s="66" t="s">
        <v>8</v>
      </c>
      <c r="D104" s="86" t="s">
        <v>26</v>
      </c>
      <c r="E104" s="67">
        <v>27000.0</v>
      </c>
      <c r="F104" s="66" t="s">
        <v>25</v>
      </c>
      <c r="G104" s="66" t="s">
        <v>134</v>
      </c>
      <c r="H104" s="66" t="s">
        <v>8</v>
      </c>
      <c r="I104" s="35">
        <f>IF(AND(A104&gt;=Dashboard!$B$2,A104&lt;EDATE(Dashboard!$B$2,1),D104&lt;&gt;""),E104,"")</f>
        <v>27000</v>
      </c>
      <c r="J104" s="43" t="str">
        <f t="shared" si="1"/>
        <v>#REF!</v>
      </c>
    </row>
    <row r="105" ht="15.75" customHeight="1">
      <c r="A105" s="69">
        <v>46244.0</v>
      </c>
      <c r="B105" s="86" t="s">
        <v>23</v>
      </c>
      <c r="C105" s="66" t="s">
        <v>8</v>
      </c>
      <c r="D105" s="66" t="s">
        <v>178</v>
      </c>
      <c r="E105" s="67">
        <v>30000.0</v>
      </c>
      <c r="F105" s="86" t="s">
        <v>9</v>
      </c>
      <c r="G105" s="66" t="s">
        <v>95</v>
      </c>
      <c r="H105" s="66" t="s">
        <v>8</v>
      </c>
      <c r="I105" s="35">
        <f>IF(AND(A105&gt;=Dashboard!$B$2,A105&lt;EDATE(Dashboard!$B$2,1),D105&lt;&gt;""),E105,"")</f>
        <v>30000</v>
      </c>
      <c r="J105" s="43" t="str">
        <f t="shared" si="1"/>
        <v>#REF!</v>
      </c>
    </row>
    <row r="106" ht="15.75" customHeight="1">
      <c r="A106" s="69">
        <v>46244.0</v>
      </c>
      <c r="B106" s="66" t="s">
        <v>68</v>
      </c>
      <c r="C106" s="66" t="s">
        <v>8</v>
      </c>
      <c r="D106" s="66" t="s">
        <v>41</v>
      </c>
      <c r="E106" s="67">
        <v>20000.0</v>
      </c>
      <c r="F106" s="66" t="s">
        <v>169</v>
      </c>
      <c r="G106" s="66"/>
      <c r="H106" s="66" t="s">
        <v>8</v>
      </c>
      <c r="I106" s="35">
        <f>IF(AND(A106&gt;=Dashboard!$B$2,A106&lt;EDATE(Dashboard!$B$2,1),D106&lt;&gt;""),E106,"")</f>
        <v>20000</v>
      </c>
      <c r="J106" s="43" t="str">
        <f t="shared" si="1"/>
        <v>#REF!</v>
      </c>
    </row>
    <row r="107" ht="15.75" customHeight="1">
      <c r="A107" s="69">
        <v>46244.0</v>
      </c>
      <c r="B107" s="86" t="s">
        <v>46</v>
      </c>
      <c r="C107" s="66" t="s">
        <v>8</v>
      </c>
      <c r="D107" s="66" t="s">
        <v>121</v>
      </c>
      <c r="E107" s="67">
        <v>20000.0</v>
      </c>
      <c r="F107" s="86" t="s">
        <v>9</v>
      </c>
      <c r="G107" s="66" t="s">
        <v>87</v>
      </c>
      <c r="H107" s="66" t="s">
        <v>8</v>
      </c>
      <c r="I107" s="35">
        <f>IF(AND(A107&gt;=Dashboard!$B$2,A107&lt;EDATE(Dashboard!$B$2,1),D107&lt;&gt;""),E107,"")</f>
        <v>20000</v>
      </c>
      <c r="J107" s="43" t="str">
        <f t="shared" si="1"/>
        <v>#REF!</v>
      </c>
    </row>
    <row r="108" ht="15.75" customHeight="1">
      <c r="A108" s="69">
        <v>46244.0</v>
      </c>
      <c r="B108" s="86" t="s">
        <v>46</v>
      </c>
      <c r="C108" s="66" t="s">
        <v>8</v>
      </c>
      <c r="D108" s="93" t="s">
        <v>179</v>
      </c>
      <c r="E108" s="94">
        <v>17000.0</v>
      </c>
      <c r="F108" s="86" t="s">
        <v>9</v>
      </c>
      <c r="G108" s="66" t="s">
        <v>95</v>
      </c>
      <c r="H108" s="66" t="s">
        <v>8</v>
      </c>
      <c r="I108" s="35">
        <f>IF(AND(A108&gt;=Dashboard!$B$2,A108&lt;EDATE(Dashboard!$B$2,1),D108&lt;&gt;""),E108,"")</f>
        <v>17000</v>
      </c>
      <c r="J108" s="43" t="str">
        <f t="shared" si="1"/>
        <v>#REF!</v>
      </c>
    </row>
    <row r="109" ht="15.75" customHeight="1">
      <c r="A109" s="61">
        <v>46245.0</v>
      </c>
      <c r="B109" s="62" t="s">
        <v>38</v>
      </c>
      <c r="C109" s="62" t="s">
        <v>8</v>
      </c>
      <c r="D109" s="62" t="s">
        <v>132</v>
      </c>
      <c r="E109" s="63">
        <v>26000.0</v>
      </c>
      <c r="F109" s="95" t="s">
        <v>9</v>
      </c>
      <c r="G109" s="62" t="s">
        <v>133</v>
      </c>
      <c r="H109" s="62" t="s">
        <v>177</v>
      </c>
      <c r="I109" s="35">
        <f>IF(AND(A109&gt;=Dashboard!$B$2,A109&lt;EDATE(Dashboard!$B$2,1),D109&lt;&gt;""),E109,"")</f>
        <v>26000</v>
      </c>
      <c r="J109" s="43" t="str">
        <f t="shared" si="1"/>
        <v>#REF!</v>
      </c>
    </row>
    <row r="110" ht="15.75" customHeight="1">
      <c r="A110" s="61">
        <v>46245.0</v>
      </c>
      <c r="B110" s="95" t="s">
        <v>15</v>
      </c>
      <c r="C110" s="62" t="s">
        <v>8</v>
      </c>
      <c r="D110" s="95" t="s">
        <v>26</v>
      </c>
      <c r="E110" s="63">
        <v>27000.0</v>
      </c>
      <c r="F110" s="95" t="s">
        <v>9</v>
      </c>
      <c r="G110" s="62" t="s">
        <v>134</v>
      </c>
      <c r="H110" s="62" t="s">
        <v>177</v>
      </c>
      <c r="I110" s="35">
        <f>IF(AND(A110&gt;=Dashboard!$B$2,A110&lt;EDATE(Dashboard!$B$2,1),D110&lt;&gt;""),E110,"")</f>
        <v>27000</v>
      </c>
      <c r="J110" s="43" t="str">
        <f t="shared" si="1"/>
        <v>#REF!</v>
      </c>
    </row>
    <row r="111" ht="15.75" customHeight="1">
      <c r="A111" s="61">
        <v>46245.0</v>
      </c>
      <c r="B111" s="95" t="s">
        <v>23</v>
      </c>
      <c r="C111" s="62" t="s">
        <v>8</v>
      </c>
      <c r="D111" s="62" t="s">
        <v>180</v>
      </c>
      <c r="E111" s="63">
        <v>35000.0</v>
      </c>
      <c r="F111" s="95" t="s">
        <v>9</v>
      </c>
      <c r="G111" s="62" t="s">
        <v>181</v>
      </c>
      <c r="H111" s="62" t="s">
        <v>177</v>
      </c>
      <c r="I111" s="35">
        <f>IF(AND(A111&gt;=Dashboard!$B$2,A111&lt;EDATE(Dashboard!$B$2,1),D111&lt;&gt;""),E111,"")</f>
        <v>35000</v>
      </c>
      <c r="J111" s="43" t="str">
        <f t="shared" si="1"/>
        <v>#REF!</v>
      </c>
    </row>
    <row r="112" ht="15.75" customHeight="1">
      <c r="A112" s="61">
        <v>46245.0</v>
      </c>
      <c r="B112" s="95" t="s">
        <v>46</v>
      </c>
      <c r="C112" s="62" t="s">
        <v>8</v>
      </c>
      <c r="D112" s="62" t="s">
        <v>182</v>
      </c>
      <c r="E112" s="63">
        <v>10000.0</v>
      </c>
      <c r="F112" s="95" t="s">
        <v>9</v>
      </c>
      <c r="G112" s="62" t="s">
        <v>87</v>
      </c>
      <c r="H112" s="62" t="s">
        <v>177</v>
      </c>
      <c r="I112" s="35">
        <f>IF(AND(A112&gt;=Dashboard!$B$2,A112&lt;EDATE(Dashboard!$B$2,1),D112&lt;&gt;""),E112,"")</f>
        <v>10000</v>
      </c>
      <c r="J112" s="43" t="str">
        <f t="shared" si="1"/>
        <v>#REF!</v>
      </c>
    </row>
    <row r="113" ht="15.75" customHeight="1">
      <c r="A113" s="61">
        <v>46245.0</v>
      </c>
      <c r="B113" s="62" t="s">
        <v>68</v>
      </c>
      <c r="C113" s="62" t="s">
        <v>8</v>
      </c>
      <c r="D113" s="62" t="s">
        <v>137</v>
      </c>
      <c r="E113" s="63">
        <v>20000.0</v>
      </c>
      <c r="F113" s="62" t="s">
        <v>34</v>
      </c>
      <c r="G113" s="62"/>
      <c r="H113" s="62" t="s">
        <v>8</v>
      </c>
      <c r="I113" s="35">
        <f>IF(AND(A113&gt;=Dashboard!$B$2,A113&lt;EDATE(Dashboard!$B$2,1),D113&lt;&gt;""),E113,"")</f>
        <v>20000</v>
      </c>
      <c r="J113" s="43" t="str">
        <f t="shared" si="1"/>
        <v>#REF!</v>
      </c>
    </row>
    <row r="114" ht="15.75" customHeight="1">
      <c r="A114" s="69">
        <v>46246.0</v>
      </c>
      <c r="B114" s="66" t="s">
        <v>68</v>
      </c>
      <c r="C114" s="66" t="s">
        <v>8</v>
      </c>
      <c r="D114" s="66" t="s">
        <v>137</v>
      </c>
      <c r="E114" s="67">
        <v>10000.0</v>
      </c>
      <c r="F114" s="66" t="s">
        <v>34</v>
      </c>
      <c r="G114" s="66"/>
      <c r="H114" s="66" t="s">
        <v>8</v>
      </c>
      <c r="I114" s="35">
        <f>IF(AND(A114&gt;=Dashboard!$B$2,A114&lt;EDATE(Dashboard!$B$2,1),D114&lt;&gt;""),E114,"")</f>
        <v>10000</v>
      </c>
      <c r="J114" s="43" t="str">
        <f t="shared" si="1"/>
        <v>#REF!</v>
      </c>
    </row>
    <row r="115" ht="15.75" customHeight="1">
      <c r="A115" s="69">
        <v>46246.0</v>
      </c>
      <c r="B115" s="66" t="s">
        <v>38</v>
      </c>
      <c r="C115" s="66" t="s">
        <v>8</v>
      </c>
      <c r="D115" s="66" t="s">
        <v>132</v>
      </c>
      <c r="E115" s="67">
        <v>29000.0</v>
      </c>
      <c r="F115" s="66" t="s">
        <v>150</v>
      </c>
      <c r="G115" s="66" t="s">
        <v>76</v>
      </c>
      <c r="H115" s="66" t="s">
        <v>8</v>
      </c>
      <c r="I115" s="35">
        <f>IF(AND(A115&gt;=Dashboard!$B$2,A115&lt;EDATE(Dashboard!$B$2,1),D115&lt;&gt;""),E115,"")</f>
        <v>29000</v>
      </c>
      <c r="J115" s="43" t="str">
        <f t="shared" si="1"/>
        <v>#REF!</v>
      </c>
    </row>
    <row r="116" ht="15.75" customHeight="1">
      <c r="A116" s="69">
        <v>46246.0</v>
      </c>
      <c r="B116" s="66" t="s">
        <v>7</v>
      </c>
      <c r="C116" s="66" t="s">
        <v>8</v>
      </c>
      <c r="D116" s="66" t="s">
        <v>183</v>
      </c>
      <c r="E116" s="67">
        <v>30000.0</v>
      </c>
      <c r="F116" s="66" t="s">
        <v>9</v>
      </c>
      <c r="G116" s="66" t="s">
        <v>139</v>
      </c>
      <c r="H116" s="66" t="s">
        <v>8</v>
      </c>
      <c r="I116" s="35">
        <f>IF(AND(A116&gt;=Dashboard!$B$2,A116&lt;EDATE(Dashboard!$B$2,1),D116&lt;&gt;""),E116,"")</f>
        <v>30000</v>
      </c>
      <c r="J116" s="43" t="str">
        <f t="shared" si="1"/>
        <v>#REF!</v>
      </c>
    </row>
    <row r="117" ht="15.75" customHeight="1">
      <c r="A117" s="69">
        <v>46246.0</v>
      </c>
      <c r="B117" s="66" t="s">
        <v>68</v>
      </c>
      <c r="C117" s="66" t="s">
        <v>8</v>
      </c>
      <c r="D117" s="96" t="s">
        <v>41</v>
      </c>
      <c r="E117" s="67">
        <v>20000.0</v>
      </c>
      <c r="F117" s="66"/>
      <c r="G117" s="66"/>
      <c r="H117" s="66" t="s">
        <v>8</v>
      </c>
      <c r="I117" s="35">
        <f>IF(AND(A117&gt;=Dashboard!$B$2,A117&lt;EDATE(Dashboard!$B$2,1),D117&lt;&gt;""),E117,"")</f>
        <v>20000</v>
      </c>
      <c r="J117" s="43" t="str">
        <f t="shared" si="1"/>
        <v>#REF!</v>
      </c>
    </row>
    <row r="118" ht="15.75" customHeight="1">
      <c r="A118" s="69">
        <v>46246.0</v>
      </c>
      <c r="B118" s="86" t="s">
        <v>15</v>
      </c>
      <c r="C118" s="66" t="s">
        <v>8</v>
      </c>
      <c r="D118" s="86" t="s">
        <v>26</v>
      </c>
      <c r="E118" s="67">
        <v>40000.0</v>
      </c>
      <c r="F118" s="97" t="s">
        <v>9</v>
      </c>
      <c r="G118" s="66"/>
      <c r="H118" s="66" t="s">
        <v>8</v>
      </c>
      <c r="I118" s="35">
        <f>IF(AND(A118&gt;=Dashboard!$B$2,A118&lt;EDATE(Dashboard!$B$2,1),D118&lt;&gt;""),E118,"")</f>
        <v>40000</v>
      </c>
      <c r="J118" s="43" t="str">
        <f t="shared" si="1"/>
        <v>#REF!</v>
      </c>
    </row>
    <row r="119" ht="15.75" customHeight="1">
      <c r="A119" s="69">
        <v>46246.0</v>
      </c>
      <c r="B119" s="97" t="s">
        <v>23</v>
      </c>
      <c r="C119" s="66" t="s">
        <v>8</v>
      </c>
      <c r="D119" s="97" t="s">
        <v>26</v>
      </c>
      <c r="E119" s="67">
        <v>35000.0</v>
      </c>
      <c r="F119" s="97" t="s">
        <v>9</v>
      </c>
      <c r="G119" s="66"/>
      <c r="H119" s="66" t="s">
        <v>8</v>
      </c>
      <c r="I119" s="35">
        <f>IF(AND(A119&gt;=Dashboard!$B$2,A119&lt;EDATE(Dashboard!$B$2,1),D119&lt;&gt;""),E119,"")</f>
        <v>35000</v>
      </c>
      <c r="J119" s="43" t="str">
        <f t="shared" si="1"/>
        <v>#REF!</v>
      </c>
    </row>
    <row r="120" ht="15.75" customHeight="1">
      <c r="A120" s="61">
        <v>46247.0</v>
      </c>
      <c r="B120" s="98" t="s">
        <v>38</v>
      </c>
      <c r="C120" s="62" t="s">
        <v>8</v>
      </c>
      <c r="D120" s="95" t="s">
        <v>132</v>
      </c>
      <c r="E120" s="63">
        <v>29000.0</v>
      </c>
      <c r="F120" s="98" t="s">
        <v>150</v>
      </c>
      <c r="G120" s="62" t="s">
        <v>76</v>
      </c>
      <c r="H120" s="62" t="s">
        <v>8</v>
      </c>
      <c r="I120" s="35">
        <f>IF(AND(A120&gt;=Dashboard!$B$2,A120&lt;EDATE(Dashboard!$B$2,1),D120&lt;&gt;""),E120,"")</f>
        <v>29000</v>
      </c>
      <c r="J120" s="43" t="str">
        <f t="shared" si="1"/>
        <v>#REF!</v>
      </c>
    </row>
    <row r="121" ht="15.75" customHeight="1">
      <c r="A121" s="61">
        <v>46247.0</v>
      </c>
      <c r="B121" s="95" t="s">
        <v>15</v>
      </c>
      <c r="C121" s="62" t="s">
        <v>8</v>
      </c>
      <c r="D121" s="95" t="s">
        <v>26</v>
      </c>
      <c r="E121" s="63">
        <v>27000.0</v>
      </c>
      <c r="F121" s="98" t="s">
        <v>25</v>
      </c>
      <c r="G121" s="62" t="s">
        <v>134</v>
      </c>
      <c r="H121" s="62" t="s">
        <v>8</v>
      </c>
      <c r="I121" s="35">
        <f>IF(AND(A121&gt;=Dashboard!$B$2,A121&lt;EDATE(Dashboard!$B$2,1),D121&lt;&gt;""),E121,"")</f>
        <v>27000</v>
      </c>
      <c r="J121" s="43" t="str">
        <f t="shared" si="1"/>
        <v>#REF!</v>
      </c>
    </row>
    <row r="122" ht="15.75" customHeight="1">
      <c r="A122" s="61">
        <v>46247.0</v>
      </c>
      <c r="B122" s="95" t="s">
        <v>23</v>
      </c>
      <c r="C122" s="62" t="s">
        <v>8</v>
      </c>
      <c r="D122" s="95" t="s">
        <v>163</v>
      </c>
      <c r="E122" s="63">
        <v>35000.0</v>
      </c>
      <c r="F122" s="95" t="s">
        <v>9</v>
      </c>
      <c r="G122" s="62" t="s">
        <v>155</v>
      </c>
      <c r="H122" s="62" t="s">
        <v>8</v>
      </c>
      <c r="I122" s="35">
        <f>IF(AND(A122&gt;=Dashboard!$B$2,A122&lt;EDATE(Dashboard!$B$2,1),D122&lt;&gt;""),E122,"")</f>
        <v>35000</v>
      </c>
      <c r="J122" s="43" t="str">
        <f t="shared" si="1"/>
        <v>#REF!</v>
      </c>
    </row>
    <row r="123" ht="15.75" customHeight="1">
      <c r="A123" s="61">
        <v>46247.0</v>
      </c>
      <c r="B123" s="95" t="s">
        <v>184</v>
      </c>
      <c r="C123" s="62" t="s">
        <v>8</v>
      </c>
      <c r="D123" s="95" t="s">
        <v>185</v>
      </c>
      <c r="E123" s="63">
        <v>25000.0</v>
      </c>
      <c r="F123" s="95" t="s">
        <v>40</v>
      </c>
      <c r="G123" s="62" t="s">
        <v>95</v>
      </c>
      <c r="H123" s="62" t="s">
        <v>8</v>
      </c>
      <c r="I123" s="35">
        <f>IF(AND(A123&gt;=Dashboard!$B$2,A123&lt;EDATE(Dashboard!$B$2,1),D123&lt;&gt;""),E123,"")</f>
        <v>25000</v>
      </c>
      <c r="J123" s="43" t="str">
        <f t="shared" si="1"/>
        <v>#REF!</v>
      </c>
    </row>
    <row r="124" ht="15.75" customHeight="1">
      <c r="A124" s="69">
        <v>46248.0</v>
      </c>
      <c r="B124" s="66" t="s">
        <v>68</v>
      </c>
      <c r="C124" s="66" t="s">
        <v>8</v>
      </c>
      <c r="D124" s="66" t="s">
        <v>137</v>
      </c>
      <c r="E124" s="67">
        <v>10000.0</v>
      </c>
      <c r="F124" s="66" t="s">
        <v>34</v>
      </c>
      <c r="G124" s="66"/>
      <c r="H124" s="66" t="s">
        <v>8</v>
      </c>
      <c r="I124" s="35">
        <f>IF(AND(A124&gt;=Dashboard!$B$2,A124&lt;EDATE(Dashboard!$B$2,1),D124&lt;&gt;""),E124,"")</f>
        <v>10000</v>
      </c>
      <c r="J124" s="43" t="str">
        <f t="shared" si="1"/>
        <v>#REF!</v>
      </c>
    </row>
    <row r="125" ht="15.75" customHeight="1">
      <c r="A125" s="69">
        <v>46248.0</v>
      </c>
      <c r="B125" s="66" t="s">
        <v>38</v>
      </c>
      <c r="C125" s="66" t="s">
        <v>8</v>
      </c>
      <c r="D125" s="66" t="s">
        <v>132</v>
      </c>
      <c r="E125" s="67">
        <v>29000.0</v>
      </c>
      <c r="F125" s="66" t="s">
        <v>150</v>
      </c>
      <c r="G125" s="66" t="s">
        <v>76</v>
      </c>
      <c r="H125" s="66" t="s">
        <v>8</v>
      </c>
      <c r="I125" s="35">
        <f>IF(AND(A125&gt;=Dashboard!$B$2,A125&lt;EDATE(Dashboard!$B$2,1),D125&lt;&gt;""),E125,"")</f>
        <v>29000</v>
      </c>
      <c r="J125" s="43" t="str">
        <f t="shared" si="1"/>
        <v>#REF!</v>
      </c>
    </row>
    <row r="126" ht="15.75" customHeight="1">
      <c r="A126" s="69">
        <v>46248.0</v>
      </c>
      <c r="B126" s="66" t="s">
        <v>7</v>
      </c>
      <c r="C126" s="66" t="s">
        <v>8</v>
      </c>
      <c r="D126" s="66" t="s">
        <v>183</v>
      </c>
      <c r="E126" s="67">
        <v>20000.0</v>
      </c>
      <c r="F126" s="66" t="s">
        <v>40</v>
      </c>
      <c r="G126" s="66" t="s">
        <v>131</v>
      </c>
      <c r="H126" s="66" t="s">
        <v>8</v>
      </c>
      <c r="I126" s="35">
        <f>IF(AND(A126&gt;=Dashboard!$B$2,A126&lt;EDATE(Dashboard!$B$2,1),D126&lt;&gt;""),E126,"")</f>
        <v>20000</v>
      </c>
      <c r="J126" s="43" t="str">
        <f t="shared" si="1"/>
        <v>#REF!</v>
      </c>
    </row>
    <row r="127" ht="15.75" customHeight="1">
      <c r="A127" s="69">
        <v>46248.0</v>
      </c>
      <c r="B127" s="66" t="s">
        <v>46</v>
      </c>
      <c r="C127" s="66" t="s">
        <v>8</v>
      </c>
      <c r="D127" s="96" t="s">
        <v>186</v>
      </c>
      <c r="E127" s="67">
        <v>20000.0</v>
      </c>
      <c r="F127" s="66" t="s">
        <v>9</v>
      </c>
      <c r="G127" s="66" t="s">
        <v>87</v>
      </c>
      <c r="H127" s="66" t="s">
        <v>8</v>
      </c>
      <c r="I127" s="35">
        <f>IF(AND(A127&gt;=Dashboard!$B$2,A127&lt;EDATE(Dashboard!$B$2,1),D127&lt;&gt;""),E127,"")</f>
        <v>20000</v>
      </c>
      <c r="J127" s="43" t="str">
        <f t="shared" si="1"/>
        <v>#REF!</v>
      </c>
    </row>
    <row r="128" ht="15.75" customHeight="1">
      <c r="A128" s="69">
        <v>46248.0</v>
      </c>
      <c r="B128" s="86" t="s">
        <v>15</v>
      </c>
      <c r="C128" s="66" t="s">
        <v>8</v>
      </c>
      <c r="D128" s="86" t="s">
        <v>26</v>
      </c>
      <c r="E128" s="67">
        <v>27000.0</v>
      </c>
      <c r="F128" s="97" t="s">
        <v>25</v>
      </c>
      <c r="G128" s="66"/>
      <c r="H128" s="66" t="s">
        <v>8</v>
      </c>
      <c r="I128" s="35">
        <f>IF(AND(A128&gt;=Dashboard!$B$2,A128&lt;EDATE(Dashboard!$B$2,1),D128&lt;&gt;""),E128,"")</f>
        <v>27000</v>
      </c>
      <c r="J128" s="43" t="str">
        <f t="shared" si="1"/>
        <v>#REF!</v>
      </c>
    </row>
    <row r="129" ht="15.75" customHeight="1">
      <c r="A129" s="69">
        <v>46248.0</v>
      </c>
      <c r="B129" s="97" t="s">
        <v>23</v>
      </c>
      <c r="C129" s="66" t="s">
        <v>8</v>
      </c>
      <c r="D129" s="97" t="s">
        <v>26</v>
      </c>
      <c r="E129" s="67">
        <v>35000.0</v>
      </c>
      <c r="F129" s="97" t="s">
        <v>9</v>
      </c>
      <c r="G129" s="66"/>
      <c r="H129" s="66" t="s">
        <v>8</v>
      </c>
      <c r="I129" s="35">
        <f>IF(AND(A129&gt;=Dashboard!$B$2,A129&lt;EDATE(Dashboard!$B$2,1),D129&lt;&gt;""),E129,"")</f>
        <v>35000</v>
      </c>
      <c r="J129" s="43" t="str">
        <f t="shared" si="1"/>
        <v>#REF!</v>
      </c>
    </row>
    <row r="130" ht="15.75" customHeight="1">
      <c r="A130" s="69">
        <v>46248.0</v>
      </c>
      <c r="B130" s="66" t="s">
        <v>46</v>
      </c>
      <c r="C130" s="66" t="s">
        <v>8</v>
      </c>
      <c r="D130" s="96" t="s">
        <v>187</v>
      </c>
      <c r="E130" s="67">
        <v>11000.0</v>
      </c>
      <c r="F130" s="66" t="s">
        <v>150</v>
      </c>
      <c r="G130" s="66"/>
      <c r="H130" s="66" t="s">
        <v>8</v>
      </c>
      <c r="I130" s="35">
        <f>IF(AND(A130&gt;=Dashboard!$B$2,A130&lt;EDATE(Dashboard!$B$2,1),D130&lt;&gt;""),E130,"")</f>
        <v>11000</v>
      </c>
      <c r="J130" s="43" t="str">
        <f t="shared" si="1"/>
        <v>#REF!</v>
      </c>
    </row>
    <row r="131" ht="15.75" customHeight="1">
      <c r="A131" s="61">
        <v>46249.0</v>
      </c>
      <c r="B131" s="62" t="s">
        <v>57</v>
      </c>
      <c r="C131" s="62" t="s">
        <v>8</v>
      </c>
      <c r="D131" s="62" t="s">
        <v>115</v>
      </c>
      <c r="E131" s="63">
        <v>20000.0</v>
      </c>
      <c r="F131" s="62" t="s">
        <v>158</v>
      </c>
      <c r="G131" s="62"/>
      <c r="H131" s="62"/>
      <c r="I131" s="35">
        <f>IF(AND(A131&gt;=Dashboard!$B$2,A131&lt;EDATE(Dashboard!$B$2,1),D131&lt;&gt;""),E131,"")</f>
        <v>20000</v>
      </c>
      <c r="J131" s="43" t="str">
        <f t="shared" si="1"/>
        <v>#REF!</v>
      </c>
    </row>
    <row r="132" ht="15.75" customHeight="1">
      <c r="A132" s="61">
        <v>46249.0</v>
      </c>
      <c r="B132" s="62" t="s">
        <v>68</v>
      </c>
      <c r="C132" s="62" t="s">
        <v>8</v>
      </c>
      <c r="D132" s="98" t="s">
        <v>41</v>
      </c>
      <c r="E132" s="63">
        <v>20000.0</v>
      </c>
      <c r="F132" s="62" t="s">
        <v>40</v>
      </c>
      <c r="G132" s="62"/>
      <c r="H132" s="62"/>
      <c r="I132" s="35">
        <f>IF(AND(A132&gt;=Dashboard!$B$2,A132&lt;EDATE(Dashboard!$B$2,1),D132&lt;&gt;""),E132,"")</f>
        <v>20000</v>
      </c>
      <c r="J132" s="43" t="str">
        <f t="shared" si="1"/>
        <v>#REF!</v>
      </c>
    </row>
    <row r="133" ht="15.75" customHeight="1">
      <c r="A133" s="69">
        <v>46250.0</v>
      </c>
      <c r="B133" s="66" t="s">
        <v>46</v>
      </c>
      <c r="C133" s="66" t="s">
        <v>17</v>
      </c>
      <c r="D133" s="96" t="s">
        <v>188</v>
      </c>
      <c r="E133" s="67">
        <v>100000.0</v>
      </c>
      <c r="F133" s="66" t="s">
        <v>40</v>
      </c>
      <c r="G133" s="66"/>
      <c r="H133" s="66"/>
      <c r="I133" s="35">
        <f>IF(AND(A133&gt;=Dashboard!$B$2,A133&lt;EDATE(Dashboard!$B$2,1),D133&lt;&gt;""),E133,"")</f>
        <v>100000</v>
      </c>
      <c r="J133" s="43" t="str">
        <f t="shared" si="1"/>
        <v>#REF!</v>
      </c>
    </row>
    <row r="134" ht="15.75" customHeight="1">
      <c r="A134" s="61">
        <v>46251.0</v>
      </c>
      <c r="B134" s="62" t="s">
        <v>68</v>
      </c>
      <c r="C134" s="62" t="s">
        <v>8</v>
      </c>
      <c r="D134" s="98" t="s">
        <v>41</v>
      </c>
      <c r="E134" s="63">
        <v>30000.0</v>
      </c>
      <c r="F134" s="62" t="s">
        <v>40</v>
      </c>
      <c r="G134" s="62"/>
      <c r="H134" s="62"/>
      <c r="I134" s="35">
        <f>IF(AND(A134&gt;=Dashboard!$B$2,A134&lt;EDATE(Dashboard!$B$2,1),D134&lt;&gt;""),E134,"")</f>
        <v>30000</v>
      </c>
      <c r="J134" s="43" t="str">
        <f t="shared" si="1"/>
        <v>#REF!</v>
      </c>
    </row>
    <row r="135" ht="15.75" customHeight="1">
      <c r="A135" s="61">
        <v>46251.0</v>
      </c>
      <c r="B135" s="62" t="s">
        <v>7</v>
      </c>
      <c r="C135" s="62" t="s">
        <v>8</v>
      </c>
      <c r="D135" s="98" t="s">
        <v>138</v>
      </c>
      <c r="E135" s="63">
        <v>25000.0</v>
      </c>
      <c r="F135" s="62" t="s">
        <v>9</v>
      </c>
      <c r="G135" s="62"/>
      <c r="H135" s="62"/>
      <c r="I135" s="35">
        <f>IF(AND(A135&gt;=Dashboard!$B$2,A135&lt;EDATE(Dashboard!$B$2,1),D135&lt;&gt;""),E135,"")</f>
        <v>25000</v>
      </c>
      <c r="J135" s="43" t="str">
        <f t="shared" si="1"/>
        <v>#REF!</v>
      </c>
    </row>
    <row r="136" ht="15.75" customHeight="1">
      <c r="A136" s="61">
        <v>46251.0</v>
      </c>
      <c r="B136" s="62" t="s">
        <v>57</v>
      </c>
      <c r="C136" s="62" t="s">
        <v>8</v>
      </c>
      <c r="D136" s="62" t="s">
        <v>115</v>
      </c>
      <c r="E136" s="63">
        <v>18000.0</v>
      </c>
      <c r="F136" s="62" t="s">
        <v>158</v>
      </c>
      <c r="G136" s="62"/>
      <c r="H136" s="62"/>
      <c r="I136" s="35">
        <f>IF(AND(A136&gt;=Dashboard!$B$2,A136&lt;EDATE(Dashboard!$B$2,1),D136&lt;&gt;""),E136,"")</f>
        <v>18000</v>
      </c>
      <c r="J136" s="43" t="str">
        <f t="shared" si="1"/>
        <v>#REF!</v>
      </c>
    </row>
    <row r="137" ht="15.75" customHeight="1">
      <c r="A137" s="61">
        <v>46251.0</v>
      </c>
      <c r="B137" s="62" t="s">
        <v>57</v>
      </c>
      <c r="C137" s="62" t="s">
        <v>8</v>
      </c>
      <c r="D137" s="62" t="s">
        <v>90</v>
      </c>
      <c r="E137" s="63">
        <v>145000.0</v>
      </c>
      <c r="F137" s="62" t="s">
        <v>9</v>
      </c>
      <c r="G137" s="62"/>
      <c r="H137" s="62"/>
      <c r="I137" s="35">
        <f>IF(AND(A137&gt;=Dashboard!$B$2,A137&lt;EDATE(Dashboard!$B$2,1),D137&lt;&gt;""),E137,"")</f>
        <v>145000</v>
      </c>
      <c r="J137" s="43" t="str">
        <f t="shared" si="1"/>
        <v>#REF!</v>
      </c>
    </row>
    <row r="138" ht="15.75" customHeight="1">
      <c r="A138" s="61">
        <v>46251.0</v>
      </c>
      <c r="B138" s="95" t="s">
        <v>15</v>
      </c>
      <c r="C138" s="62" t="s">
        <v>8</v>
      </c>
      <c r="D138" s="95" t="s">
        <v>26</v>
      </c>
      <c r="E138" s="63">
        <v>27000.0</v>
      </c>
      <c r="F138" s="62" t="s">
        <v>25</v>
      </c>
      <c r="G138" s="62"/>
      <c r="H138" s="62"/>
      <c r="I138" s="35">
        <f>IF(AND(A138&gt;=Dashboard!$B$2,A138&lt;EDATE(Dashboard!$B$2,1),D138&lt;&gt;""),E138,"")</f>
        <v>27000</v>
      </c>
      <c r="J138" s="43" t="str">
        <f t="shared" si="1"/>
        <v>#REF!</v>
      </c>
    </row>
    <row r="139" ht="15.75" customHeight="1">
      <c r="A139" s="61">
        <v>46251.0</v>
      </c>
      <c r="B139" s="95" t="s">
        <v>23</v>
      </c>
      <c r="C139" s="62" t="s">
        <v>8</v>
      </c>
      <c r="D139" s="62" t="s">
        <v>154</v>
      </c>
      <c r="E139" s="63">
        <v>25000.0</v>
      </c>
      <c r="F139" s="62" t="s">
        <v>9</v>
      </c>
      <c r="G139" s="62"/>
      <c r="H139" s="62"/>
      <c r="I139" s="35">
        <f>IF(AND(A139&gt;=Dashboard!$B$2,A139&lt;EDATE(Dashboard!$B$2,1),D139&lt;&gt;""),E139,"")</f>
        <v>25000</v>
      </c>
      <c r="J139" s="43" t="str">
        <f t="shared" si="1"/>
        <v>#REF!</v>
      </c>
    </row>
    <row r="140" ht="15.75" customHeight="1">
      <c r="A140" s="61">
        <v>46251.0</v>
      </c>
      <c r="B140" s="95" t="s">
        <v>38</v>
      </c>
      <c r="C140" s="62" t="s">
        <v>8</v>
      </c>
      <c r="D140" s="62" t="s">
        <v>132</v>
      </c>
      <c r="E140" s="63">
        <v>26000.0</v>
      </c>
      <c r="F140" s="62" t="s">
        <v>9</v>
      </c>
      <c r="G140" s="62" t="s">
        <v>151</v>
      </c>
      <c r="H140" s="62"/>
      <c r="I140" s="35">
        <f>IF(AND(A140&gt;=Dashboard!$B$2,A140&lt;EDATE(Dashboard!$B$2,1),D140&lt;&gt;""),E140,"")</f>
        <v>26000</v>
      </c>
      <c r="J140" s="43" t="str">
        <f t="shared" si="1"/>
        <v>#REF!</v>
      </c>
    </row>
    <row r="141" ht="15.75" customHeight="1">
      <c r="A141" s="69">
        <v>46252.0</v>
      </c>
      <c r="B141" s="66" t="s">
        <v>38</v>
      </c>
      <c r="C141" s="66" t="s">
        <v>8</v>
      </c>
      <c r="D141" s="66" t="s">
        <v>132</v>
      </c>
      <c r="E141" s="67">
        <v>29000.0</v>
      </c>
      <c r="F141" s="66" t="s">
        <v>150</v>
      </c>
      <c r="G141" s="62" t="s">
        <v>151</v>
      </c>
      <c r="H141" s="66" t="s">
        <v>8</v>
      </c>
      <c r="I141" s="35">
        <f>IF(AND(A141&gt;=Dashboard!$B$2,A141&lt;EDATE(Dashboard!$B$2,1),D141&lt;&gt;""),E141,"")</f>
        <v>29000</v>
      </c>
      <c r="J141" s="43" t="str">
        <f t="shared" si="1"/>
        <v>#REF!</v>
      </c>
    </row>
    <row r="142" ht="15.75" customHeight="1">
      <c r="A142" s="69">
        <v>46252.0</v>
      </c>
      <c r="B142" s="86" t="s">
        <v>15</v>
      </c>
      <c r="C142" s="66" t="s">
        <v>8</v>
      </c>
      <c r="D142" s="86" t="s">
        <v>26</v>
      </c>
      <c r="E142" s="67">
        <v>27000.0</v>
      </c>
      <c r="F142" s="66" t="s">
        <v>150</v>
      </c>
      <c r="G142" s="66"/>
      <c r="H142" s="66" t="s">
        <v>8</v>
      </c>
      <c r="I142" s="35">
        <f>IF(AND(A142&gt;=Dashboard!$B$2,A142&lt;EDATE(Dashboard!$B$2,1),D142&lt;&gt;""),E142,"")</f>
        <v>27000</v>
      </c>
      <c r="J142" s="43" t="str">
        <f t="shared" si="1"/>
        <v>#REF!</v>
      </c>
    </row>
    <row r="143" ht="15.75" customHeight="1">
      <c r="A143" s="69">
        <v>46252.0</v>
      </c>
      <c r="B143" s="97" t="s">
        <v>23</v>
      </c>
      <c r="C143" s="66" t="s">
        <v>8</v>
      </c>
      <c r="D143" s="66" t="s">
        <v>154</v>
      </c>
      <c r="E143" s="67">
        <v>14000.0</v>
      </c>
      <c r="F143" s="66" t="s">
        <v>150</v>
      </c>
      <c r="G143" s="66"/>
      <c r="H143" s="66" t="s">
        <v>8</v>
      </c>
      <c r="I143" s="35">
        <f>IF(AND(A143&gt;=Dashboard!$B$2,A143&lt;EDATE(Dashboard!$B$2,1),D143&lt;&gt;""),E143,"")</f>
        <v>14000</v>
      </c>
      <c r="J143" s="43" t="str">
        <f t="shared" si="1"/>
        <v>#REF!</v>
      </c>
    </row>
    <row r="144" ht="15.75" customHeight="1">
      <c r="A144" s="69">
        <v>46252.0</v>
      </c>
      <c r="B144" s="66" t="s">
        <v>46</v>
      </c>
      <c r="C144" s="66" t="s">
        <v>8</v>
      </c>
      <c r="D144" s="96" t="s">
        <v>121</v>
      </c>
      <c r="E144" s="67">
        <v>20000.0</v>
      </c>
      <c r="F144" s="66" t="s">
        <v>150</v>
      </c>
      <c r="G144" s="66"/>
      <c r="H144" s="66" t="s">
        <v>8</v>
      </c>
      <c r="I144" s="35">
        <f>IF(AND(A144&gt;=Dashboard!$B$2,A144&lt;EDATE(Dashboard!$B$2,1),D144&lt;&gt;""),E144,"")</f>
        <v>20000</v>
      </c>
      <c r="J144" s="43" t="str">
        <f t="shared" si="1"/>
        <v>#REF!</v>
      </c>
    </row>
    <row r="145" ht="15.75" customHeight="1">
      <c r="A145" s="69">
        <v>46252.0</v>
      </c>
      <c r="B145" s="66" t="s">
        <v>68</v>
      </c>
      <c r="C145" s="66" t="s">
        <v>8</v>
      </c>
      <c r="D145" s="66" t="s">
        <v>137</v>
      </c>
      <c r="E145" s="67">
        <v>10000.0</v>
      </c>
      <c r="F145" s="66" t="s">
        <v>34</v>
      </c>
      <c r="G145" s="93"/>
      <c r="H145" s="93"/>
      <c r="I145" s="35">
        <f>IF(AND(A145&gt;=Dashboard!$B$2,A145&lt;EDATE(Dashboard!$B$2,1),D145&lt;&gt;""),E145,"")</f>
        <v>10000</v>
      </c>
      <c r="J145" s="43" t="str">
        <f t="shared" si="1"/>
        <v>#REF!</v>
      </c>
    </row>
    <row r="146" ht="15.75" customHeight="1">
      <c r="A146" s="69">
        <v>46252.0</v>
      </c>
      <c r="B146" s="66" t="s">
        <v>57</v>
      </c>
      <c r="C146" s="66" t="s">
        <v>8</v>
      </c>
      <c r="D146" s="66" t="s">
        <v>110</v>
      </c>
      <c r="E146" s="67">
        <v>18000.0</v>
      </c>
      <c r="F146" s="66" t="s">
        <v>168</v>
      </c>
      <c r="G146" s="66"/>
      <c r="H146" s="66" t="s">
        <v>8</v>
      </c>
      <c r="I146" s="35">
        <f>IF(AND(A146&gt;=Dashboard!$B$2,A146&lt;EDATE(Dashboard!$B$2,1),D146&lt;&gt;""),E146,"")</f>
        <v>18000</v>
      </c>
      <c r="J146" s="43" t="str">
        <f t="shared" si="1"/>
        <v>#REF!</v>
      </c>
    </row>
    <row r="147" ht="15.75" customHeight="1">
      <c r="A147" s="61">
        <v>46253.0</v>
      </c>
      <c r="B147" s="62" t="s">
        <v>68</v>
      </c>
      <c r="C147" s="62" t="s">
        <v>8</v>
      </c>
      <c r="D147" s="98" t="s">
        <v>41</v>
      </c>
      <c r="E147" s="63">
        <v>20000.0</v>
      </c>
      <c r="F147" s="62" t="s">
        <v>9</v>
      </c>
      <c r="G147" s="62"/>
      <c r="H147" s="62"/>
      <c r="I147" s="35">
        <f>IF(AND(A147&gt;=Dashboard!$B$2,A147&lt;EDATE(Dashboard!$B$2,1),D147&lt;&gt;""),E147,"")</f>
        <v>20000</v>
      </c>
      <c r="J147" s="43" t="str">
        <f t="shared" si="1"/>
        <v>#REF!</v>
      </c>
    </row>
    <row r="148" ht="15.75" customHeight="1">
      <c r="A148" s="61">
        <v>46253.0</v>
      </c>
      <c r="B148" s="62" t="s">
        <v>7</v>
      </c>
      <c r="C148" s="62" t="s">
        <v>8</v>
      </c>
      <c r="D148" s="98" t="s">
        <v>138</v>
      </c>
      <c r="E148" s="63">
        <v>25000.0</v>
      </c>
      <c r="F148" s="62" t="s">
        <v>9</v>
      </c>
      <c r="G148" s="62"/>
      <c r="H148" s="62"/>
      <c r="I148" s="35">
        <f>IF(AND(A148&gt;=Dashboard!$B$2,A148&lt;EDATE(Dashboard!$B$2,1),D148&lt;&gt;""),E148,"")</f>
        <v>25000</v>
      </c>
      <c r="J148" s="43" t="str">
        <f t="shared" si="1"/>
        <v>#REF!</v>
      </c>
    </row>
    <row r="149" ht="15.75" customHeight="1">
      <c r="A149" s="61">
        <v>46253.0</v>
      </c>
      <c r="B149" s="95" t="s">
        <v>15</v>
      </c>
      <c r="C149" s="62" t="s">
        <v>8</v>
      </c>
      <c r="D149" s="95" t="s">
        <v>26</v>
      </c>
      <c r="E149" s="63">
        <v>27000.0</v>
      </c>
      <c r="F149" s="62" t="s">
        <v>25</v>
      </c>
      <c r="G149" s="62"/>
      <c r="H149" s="62"/>
      <c r="I149" s="35">
        <f>IF(AND(A149&gt;=Dashboard!$B$2,A149&lt;EDATE(Dashboard!$B$2,1),D149&lt;&gt;""),E149,"")</f>
        <v>27000</v>
      </c>
      <c r="J149" s="43" t="str">
        <f t="shared" si="1"/>
        <v>#REF!</v>
      </c>
    </row>
    <row r="150" ht="15.75" customHeight="1">
      <c r="A150" s="61">
        <v>46253.0</v>
      </c>
      <c r="B150" s="95" t="s">
        <v>23</v>
      </c>
      <c r="C150" s="62" t="s">
        <v>8</v>
      </c>
      <c r="D150" s="62" t="s">
        <v>26</v>
      </c>
      <c r="E150" s="63">
        <v>30000.0</v>
      </c>
      <c r="F150" s="62" t="s">
        <v>9</v>
      </c>
      <c r="G150" s="62" t="s">
        <v>95</v>
      </c>
      <c r="H150" s="62"/>
      <c r="I150" s="35">
        <f>IF(AND(A150&gt;=Dashboard!$B$2,A150&lt;EDATE(Dashboard!$B$2,1),D150&lt;&gt;""),E150,"")</f>
        <v>30000</v>
      </c>
      <c r="J150" s="43" t="str">
        <f t="shared" si="1"/>
        <v>#REF!</v>
      </c>
    </row>
    <row r="151" ht="15.75" customHeight="1">
      <c r="A151" s="61">
        <v>46253.0</v>
      </c>
      <c r="B151" s="95" t="s">
        <v>38</v>
      </c>
      <c r="C151" s="62" t="s">
        <v>8</v>
      </c>
      <c r="D151" s="62" t="s">
        <v>132</v>
      </c>
      <c r="E151" s="63">
        <v>29000.0</v>
      </c>
      <c r="F151" s="62" t="s">
        <v>9</v>
      </c>
      <c r="G151" s="62" t="s">
        <v>151</v>
      </c>
      <c r="H151" s="62"/>
      <c r="I151" s="35">
        <f>IF(AND(A151&gt;=Dashboard!$B$2,A151&lt;EDATE(Dashboard!$B$2,1),D151&lt;&gt;""),E151,"")</f>
        <v>29000</v>
      </c>
      <c r="J151" s="43" t="str">
        <f t="shared" si="1"/>
        <v>#REF!</v>
      </c>
    </row>
    <row r="152" ht="15.75" customHeight="1">
      <c r="A152" s="99"/>
      <c r="B152" s="93"/>
      <c r="C152" s="93"/>
      <c r="D152" s="93"/>
      <c r="E152" s="94"/>
      <c r="F152" s="93"/>
      <c r="G152" s="93"/>
      <c r="H152" s="93"/>
      <c r="I152" s="43" t="str">
        <f>IF(AND(A152&gt;=Dashboard!$B$2,A152&lt;EDATE(Dashboard!$B$2,1),D152&lt;&gt;""),E152,"")</f>
        <v/>
      </c>
      <c r="J152" s="43" t="str">
        <f t="shared" si="1"/>
        <v/>
      </c>
    </row>
    <row r="153" ht="15.75" customHeight="1">
      <c r="A153" s="99"/>
      <c r="B153" s="93"/>
      <c r="C153" s="93"/>
      <c r="D153" s="93"/>
      <c r="E153" s="94"/>
      <c r="F153" s="93"/>
      <c r="G153" s="93"/>
      <c r="H153" s="93"/>
      <c r="I153" s="43" t="str">
        <f>IF(AND(A153&gt;=Dashboard!$B$2,A153&lt;EDATE(Dashboard!$B$2,1),D153&lt;&gt;""),E153,"")</f>
        <v/>
      </c>
      <c r="J153" s="43" t="str">
        <f t="shared" si="1"/>
        <v/>
      </c>
    </row>
    <row r="154" ht="15.75" customHeight="1">
      <c r="A154" s="99"/>
      <c r="B154" s="93"/>
      <c r="C154" s="93"/>
      <c r="D154" s="93"/>
      <c r="E154" s="94"/>
      <c r="F154" s="93"/>
      <c r="G154" s="93"/>
      <c r="H154" s="93"/>
      <c r="I154" s="43" t="str">
        <f>IF(AND(A154&gt;=Dashboard!$B$2,A154&lt;EDATE(Dashboard!$B$2,1),D154&lt;&gt;""),E154,"")</f>
        <v/>
      </c>
      <c r="J154" s="43" t="str">
        <f t="shared" si="1"/>
        <v/>
      </c>
    </row>
    <row r="155" ht="15.75" customHeight="1">
      <c r="A155" s="99"/>
      <c r="B155" s="93"/>
      <c r="C155" s="93"/>
      <c r="D155" s="93"/>
      <c r="E155" s="94"/>
      <c r="F155" s="93"/>
      <c r="G155" s="93"/>
      <c r="H155" s="93"/>
      <c r="I155" s="43" t="str">
        <f>IF(AND(A155&gt;=Dashboard!$B$2,A155&lt;EDATE(Dashboard!$B$2,1),D155&lt;&gt;""),E155,"")</f>
        <v/>
      </c>
      <c r="J155" s="43" t="str">
        <f t="shared" si="1"/>
        <v/>
      </c>
    </row>
    <row r="156" ht="15.75" customHeight="1">
      <c r="A156" s="99"/>
      <c r="B156" s="93"/>
      <c r="C156" s="93"/>
      <c r="D156" s="93"/>
      <c r="E156" s="94"/>
      <c r="F156" s="93"/>
      <c r="G156" s="93"/>
      <c r="H156" s="93"/>
      <c r="I156" s="43" t="str">
        <f>IF(AND(A156&gt;=Dashboard!$B$2,A156&lt;EDATE(Dashboard!$B$2,1),D156&lt;&gt;""),E156,"")</f>
        <v/>
      </c>
      <c r="J156" s="43" t="str">
        <f t="shared" si="1"/>
        <v/>
      </c>
    </row>
    <row r="157" ht="15.75" customHeight="1">
      <c r="A157" s="99"/>
      <c r="B157" s="93"/>
      <c r="C157" s="93"/>
      <c r="D157" s="93"/>
      <c r="E157" s="94"/>
      <c r="F157" s="93"/>
      <c r="G157" s="93"/>
      <c r="H157" s="93"/>
      <c r="I157" s="43" t="str">
        <f>IF(AND(A157&gt;=Dashboard!$B$2,A157&lt;EDATE(Dashboard!$B$2,1),D157&lt;&gt;""),E157,"")</f>
        <v/>
      </c>
      <c r="J157" s="43" t="str">
        <f t="shared" si="1"/>
        <v/>
      </c>
    </row>
    <row r="158" ht="15.75" customHeight="1">
      <c r="A158" s="99"/>
      <c r="B158" s="93"/>
      <c r="C158" s="93"/>
      <c r="D158" s="93"/>
      <c r="E158" s="94"/>
      <c r="F158" s="93"/>
      <c r="G158" s="93"/>
      <c r="H158" s="93"/>
      <c r="I158" s="43" t="str">
        <f>IF(AND(A158&gt;=Dashboard!$B$2,A158&lt;EDATE(Dashboard!$B$2,1),D158&lt;&gt;""),E158,"")</f>
        <v/>
      </c>
      <c r="J158" s="43" t="str">
        <f t="shared" si="1"/>
        <v/>
      </c>
    </row>
    <row r="159" ht="15.75" customHeight="1">
      <c r="A159" s="99"/>
      <c r="B159" s="93"/>
      <c r="C159" s="93"/>
      <c r="D159" s="93"/>
      <c r="E159" s="94"/>
      <c r="F159" s="93"/>
      <c r="G159" s="93"/>
      <c r="H159" s="93"/>
      <c r="I159" s="43" t="str">
        <f>IF(AND(A159&gt;=Dashboard!$B$2,A159&lt;EDATE(Dashboard!$B$2,1),D159&lt;&gt;""),E159,"")</f>
        <v/>
      </c>
      <c r="J159" s="43" t="str">
        <f t="shared" si="1"/>
        <v/>
      </c>
    </row>
    <row r="160" ht="15.75" customHeight="1">
      <c r="A160" s="99"/>
      <c r="B160" s="93"/>
      <c r="C160" s="93"/>
      <c r="D160" s="93"/>
      <c r="E160" s="94"/>
      <c r="F160" s="93"/>
      <c r="G160" s="93"/>
      <c r="H160" s="93"/>
      <c r="I160" s="43" t="str">
        <f>IF(AND(A160&gt;=Dashboard!$B$2,A160&lt;EDATE(Dashboard!$B$2,1),D160&lt;&gt;""),E160,"")</f>
        <v/>
      </c>
      <c r="J160" s="43" t="str">
        <f t="shared" si="1"/>
        <v/>
      </c>
    </row>
    <row r="161" ht="15.75" customHeight="1">
      <c r="A161" s="99"/>
      <c r="B161" s="93"/>
      <c r="C161" s="93"/>
      <c r="D161" s="93"/>
      <c r="E161" s="94"/>
      <c r="F161" s="93"/>
      <c r="G161" s="93"/>
      <c r="H161" s="93"/>
      <c r="I161" s="43" t="str">
        <f>IF(AND(A161&gt;=Dashboard!$B$2,A161&lt;EDATE(Dashboard!$B$2,1),D161&lt;&gt;""),E161,"")</f>
        <v/>
      </c>
      <c r="J161" s="43" t="str">
        <f t="shared" si="1"/>
        <v/>
      </c>
    </row>
    <row r="162" ht="15.75" customHeight="1">
      <c r="A162" s="99"/>
      <c r="B162" s="93"/>
      <c r="C162" s="93"/>
      <c r="D162" s="93"/>
      <c r="E162" s="94"/>
      <c r="F162" s="93"/>
      <c r="G162" s="93"/>
      <c r="H162" s="93"/>
      <c r="I162" s="43" t="str">
        <f>IF(AND(A162&gt;=Dashboard!$B$2,A162&lt;EDATE(Dashboard!$B$2,1),D162&lt;&gt;""),E162,"")</f>
        <v/>
      </c>
      <c r="J162" s="43" t="str">
        <f t="shared" si="1"/>
        <v/>
      </c>
    </row>
    <row r="163" ht="15.75" customHeight="1">
      <c r="A163" s="99"/>
      <c r="B163" s="93"/>
      <c r="C163" s="93"/>
      <c r="D163" s="93"/>
      <c r="E163" s="94"/>
      <c r="F163" s="93"/>
      <c r="G163" s="93"/>
      <c r="H163" s="93"/>
      <c r="I163" s="43" t="str">
        <f>IF(AND(A163&gt;=Dashboard!$B$2,A163&lt;EDATE(Dashboard!$B$2,1),D163&lt;&gt;""),E163,"")</f>
        <v/>
      </c>
      <c r="J163" s="43" t="str">
        <f t="shared" si="1"/>
        <v/>
      </c>
    </row>
    <row r="164" ht="15.75" customHeight="1">
      <c r="A164" s="99"/>
      <c r="B164" s="93"/>
      <c r="C164" s="93"/>
      <c r="D164" s="93"/>
      <c r="E164" s="94"/>
      <c r="F164" s="93"/>
      <c r="G164" s="93"/>
      <c r="H164" s="93"/>
      <c r="I164" s="43" t="str">
        <f>IF(AND(A164&gt;=Dashboard!$B$2,A164&lt;EDATE(Dashboard!$B$2,1),D164&lt;&gt;""),E164,"")</f>
        <v/>
      </c>
      <c r="J164" s="43" t="str">
        <f t="shared" si="1"/>
        <v/>
      </c>
    </row>
    <row r="165" ht="15.75" customHeight="1">
      <c r="A165" s="99"/>
      <c r="B165" s="93"/>
      <c r="C165" s="93"/>
      <c r="D165" s="93"/>
      <c r="E165" s="94"/>
      <c r="F165" s="93"/>
      <c r="G165" s="93"/>
      <c r="H165" s="93"/>
      <c r="I165" s="43" t="str">
        <f>IF(AND(A165&gt;=Dashboard!$B$2,A165&lt;EDATE(Dashboard!$B$2,1),D165&lt;&gt;""),E165,"")</f>
        <v/>
      </c>
      <c r="J165" s="43" t="str">
        <f t="shared" si="1"/>
        <v/>
      </c>
    </row>
    <row r="166" ht="15.75" customHeight="1">
      <c r="A166" s="99"/>
      <c r="B166" s="93"/>
      <c r="C166" s="93"/>
      <c r="D166" s="93"/>
      <c r="E166" s="94"/>
      <c r="F166" s="93"/>
      <c r="G166" s="93"/>
      <c r="H166" s="93"/>
      <c r="I166" s="43" t="str">
        <f>IF(AND(A166&gt;=Dashboard!$B$2,A166&lt;EDATE(Dashboard!$B$2,1),D166&lt;&gt;""),E166,"")</f>
        <v/>
      </c>
      <c r="J166" s="43" t="str">
        <f t="shared" si="1"/>
        <v/>
      </c>
    </row>
    <row r="167" ht="15.75" customHeight="1">
      <c r="A167" s="99"/>
      <c r="B167" s="93"/>
      <c r="C167" s="93"/>
      <c r="D167" s="93"/>
      <c r="E167" s="94"/>
      <c r="F167" s="93"/>
      <c r="G167" s="93"/>
      <c r="H167" s="93"/>
      <c r="I167" s="43" t="str">
        <f>IF(AND(A167&gt;=Dashboard!$B$2,A167&lt;EDATE(Dashboard!$B$2,1),D167&lt;&gt;""),E167,"")</f>
        <v/>
      </c>
      <c r="J167" s="43" t="str">
        <f t="shared" si="1"/>
        <v/>
      </c>
    </row>
    <row r="168" ht="15.75" customHeight="1">
      <c r="A168" s="99"/>
      <c r="B168" s="93"/>
      <c r="C168" s="93"/>
      <c r="D168" s="93"/>
      <c r="E168" s="94"/>
      <c r="F168" s="93"/>
      <c r="G168" s="93"/>
      <c r="H168" s="93"/>
      <c r="I168" s="43" t="str">
        <f>IF(AND(A168&gt;=Dashboard!$B$2,A168&lt;EDATE(Dashboard!$B$2,1),D168&lt;&gt;""),E168,"")</f>
        <v/>
      </c>
      <c r="J168" s="43" t="str">
        <f t="shared" si="1"/>
        <v/>
      </c>
    </row>
    <row r="169" ht="15.75" customHeight="1">
      <c r="A169" s="99"/>
      <c r="B169" s="93"/>
      <c r="C169" s="93"/>
      <c r="D169" s="93"/>
      <c r="E169" s="94"/>
      <c r="F169" s="93"/>
      <c r="G169" s="93"/>
      <c r="H169" s="93"/>
      <c r="I169" s="43" t="str">
        <f>IF(AND(A169&gt;=Dashboard!$B$2,A169&lt;EDATE(Dashboard!$B$2,1),D169&lt;&gt;""),E169,"")</f>
        <v/>
      </c>
      <c r="J169" s="43" t="str">
        <f t="shared" si="1"/>
        <v/>
      </c>
    </row>
    <row r="170" ht="15.75" customHeight="1">
      <c r="A170" s="99"/>
      <c r="B170" s="93"/>
      <c r="C170" s="93"/>
      <c r="D170" s="93"/>
      <c r="E170" s="94"/>
      <c r="F170" s="93"/>
      <c r="G170" s="93"/>
      <c r="H170" s="93"/>
      <c r="I170" s="43" t="str">
        <f>IF(AND(A170&gt;=Dashboard!$B$2,A170&lt;EDATE(Dashboard!$B$2,1),D170&lt;&gt;""),E170,"")</f>
        <v/>
      </c>
      <c r="J170" s="43" t="str">
        <f t="shared" si="1"/>
        <v/>
      </c>
    </row>
    <row r="171" ht="15.75" customHeight="1">
      <c r="A171" s="99"/>
      <c r="B171" s="93"/>
      <c r="C171" s="93"/>
      <c r="D171" s="93"/>
      <c r="E171" s="94"/>
      <c r="F171" s="93"/>
      <c r="G171" s="93"/>
      <c r="H171" s="93"/>
      <c r="I171" s="43" t="str">
        <f>IF(AND(A171&gt;=Dashboard!$B$2,A171&lt;EDATE(Dashboard!$B$2,1),D171&lt;&gt;""),E171,"")</f>
        <v/>
      </c>
      <c r="J171" s="43" t="str">
        <f t="shared" si="1"/>
        <v/>
      </c>
    </row>
    <row r="172" ht="15.75" customHeight="1">
      <c r="A172" s="99"/>
      <c r="B172" s="93"/>
      <c r="C172" s="93"/>
      <c r="D172" s="93"/>
      <c r="E172" s="94"/>
      <c r="F172" s="93"/>
      <c r="G172" s="93"/>
      <c r="H172" s="93"/>
      <c r="I172" s="43" t="str">
        <f>IF(AND(A172&gt;=Dashboard!$B$2,A172&lt;EDATE(Dashboard!$B$2,1),D172&lt;&gt;""),E172,"")</f>
        <v/>
      </c>
      <c r="J172" s="43" t="str">
        <f t="shared" si="1"/>
        <v/>
      </c>
    </row>
    <row r="173" ht="15.75" customHeight="1">
      <c r="A173" s="99"/>
      <c r="B173" s="93"/>
      <c r="C173" s="93"/>
      <c r="D173" s="93"/>
      <c r="E173" s="94"/>
      <c r="F173" s="93"/>
      <c r="G173" s="93"/>
      <c r="H173" s="93"/>
      <c r="I173" s="43" t="str">
        <f>IF(AND(A173&gt;=Dashboard!$B$2,A173&lt;EDATE(Dashboard!$B$2,1),D173&lt;&gt;""),E173,"")</f>
        <v/>
      </c>
      <c r="J173" s="43" t="str">
        <f t="shared" si="1"/>
        <v/>
      </c>
    </row>
    <row r="174" ht="15.75" customHeight="1">
      <c r="A174" s="99"/>
      <c r="B174" s="93"/>
      <c r="C174" s="93"/>
      <c r="D174" s="93"/>
      <c r="E174" s="94"/>
      <c r="F174" s="93"/>
      <c r="G174" s="93"/>
      <c r="H174" s="93"/>
      <c r="I174" s="43" t="str">
        <f>IF(AND(A174&gt;=Dashboard!$B$2,A174&lt;EDATE(Dashboard!$B$2,1),D174&lt;&gt;""),E174,"")</f>
        <v/>
      </c>
      <c r="J174" s="43" t="str">
        <f t="shared" si="1"/>
        <v/>
      </c>
    </row>
    <row r="175" ht="15.75" customHeight="1">
      <c r="A175" s="99"/>
      <c r="B175" s="93"/>
      <c r="C175" s="93"/>
      <c r="D175" s="93"/>
      <c r="E175" s="94"/>
      <c r="F175" s="93"/>
      <c r="G175" s="93"/>
      <c r="H175" s="93"/>
      <c r="I175" s="43" t="str">
        <f>IF(AND(A175&gt;=Dashboard!$B$2,A175&lt;EDATE(Dashboard!$B$2,1),D175&lt;&gt;""),E175,"")</f>
        <v/>
      </c>
      <c r="J175" s="43" t="str">
        <f t="shared" si="1"/>
        <v/>
      </c>
    </row>
    <row r="176" ht="15.75" customHeight="1">
      <c r="A176" s="99"/>
      <c r="B176" s="93"/>
      <c r="C176" s="93"/>
      <c r="D176" s="93"/>
      <c r="E176" s="94"/>
      <c r="F176" s="93"/>
      <c r="G176" s="93"/>
      <c r="H176" s="93"/>
      <c r="I176" s="43" t="str">
        <f>IF(AND(A176&gt;=Dashboard!$B$2,A176&lt;EDATE(Dashboard!$B$2,1),D176&lt;&gt;""),E176,"")</f>
        <v/>
      </c>
      <c r="J176" s="43" t="str">
        <f t="shared" si="1"/>
        <v/>
      </c>
    </row>
    <row r="177" ht="15.75" customHeight="1">
      <c r="A177" s="99"/>
      <c r="B177" s="93"/>
      <c r="C177" s="93"/>
      <c r="D177" s="93"/>
      <c r="E177" s="94"/>
      <c r="F177" s="93"/>
      <c r="G177" s="93"/>
      <c r="H177" s="93"/>
      <c r="I177" s="43" t="str">
        <f>IF(AND(A177&gt;=Dashboard!$B$2,A177&lt;EDATE(Dashboard!$B$2,1),D177&lt;&gt;""),E177,"")</f>
        <v/>
      </c>
      <c r="J177" s="43" t="str">
        <f t="shared" si="1"/>
        <v/>
      </c>
    </row>
    <row r="178" ht="15.75" customHeight="1">
      <c r="A178" s="99"/>
      <c r="B178" s="93"/>
      <c r="C178" s="93"/>
      <c r="D178" s="93"/>
      <c r="E178" s="94"/>
      <c r="F178" s="93"/>
      <c r="G178" s="93"/>
      <c r="H178" s="93"/>
      <c r="I178" s="43" t="str">
        <f>IF(AND(A178&gt;=Dashboard!$B$2,A178&lt;EDATE(Dashboard!$B$2,1),D178&lt;&gt;""),E178,"")</f>
        <v/>
      </c>
      <c r="J178" s="43" t="str">
        <f t="shared" si="1"/>
        <v/>
      </c>
    </row>
    <row r="179" ht="15.75" customHeight="1">
      <c r="A179" s="99"/>
      <c r="B179" s="93"/>
      <c r="C179" s="93"/>
      <c r="D179" s="93"/>
      <c r="E179" s="94"/>
      <c r="F179" s="93"/>
      <c r="G179" s="93"/>
      <c r="H179" s="93"/>
      <c r="I179" s="43" t="str">
        <f>IF(AND(A179&gt;=Dashboard!$B$2,A179&lt;EDATE(Dashboard!$B$2,1),D179&lt;&gt;""),E179,"")</f>
        <v/>
      </c>
      <c r="J179" s="43" t="str">
        <f t="shared" si="1"/>
        <v/>
      </c>
    </row>
    <row r="180" ht="15.75" customHeight="1">
      <c r="A180" s="99"/>
      <c r="B180" s="93"/>
      <c r="C180" s="93"/>
      <c r="D180" s="93"/>
      <c r="E180" s="94"/>
      <c r="F180" s="93"/>
      <c r="G180" s="93"/>
      <c r="H180" s="93"/>
      <c r="I180" s="43" t="str">
        <f>IF(AND(A180&gt;=Dashboard!$B$2,A180&lt;EDATE(Dashboard!$B$2,1),D180&lt;&gt;""),E180,"")</f>
        <v/>
      </c>
      <c r="J180" s="43" t="str">
        <f t="shared" si="1"/>
        <v/>
      </c>
    </row>
    <row r="181" ht="15.75" customHeight="1">
      <c r="A181" s="99"/>
      <c r="B181" s="93"/>
      <c r="C181" s="93"/>
      <c r="D181" s="93"/>
      <c r="E181" s="94"/>
      <c r="F181" s="93"/>
      <c r="G181" s="93"/>
      <c r="H181" s="93"/>
      <c r="I181" s="43" t="str">
        <f>IF(AND(A181&gt;=Dashboard!$B$2,A181&lt;EDATE(Dashboard!$B$2,1),D181&lt;&gt;""),E181,"")</f>
        <v/>
      </c>
      <c r="J181" s="43" t="str">
        <f t="shared" si="1"/>
        <v/>
      </c>
    </row>
    <row r="182" ht="15.75" customHeight="1">
      <c r="A182" s="99"/>
      <c r="B182" s="93"/>
      <c r="C182" s="93"/>
      <c r="D182" s="93"/>
      <c r="E182" s="94"/>
      <c r="F182" s="93"/>
      <c r="G182" s="93"/>
      <c r="H182" s="93"/>
      <c r="I182" s="43" t="str">
        <f>IF(AND(A182&gt;=Dashboard!$B$2,A182&lt;EDATE(Dashboard!$B$2,1),D182&lt;&gt;""),E182,"")</f>
        <v/>
      </c>
      <c r="J182" s="43" t="str">
        <f t="shared" si="1"/>
        <v/>
      </c>
    </row>
    <row r="183" ht="15.75" customHeight="1">
      <c r="A183" s="99"/>
      <c r="B183" s="93"/>
      <c r="C183" s="93"/>
      <c r="D183" s="93"/>
      <c r="E183" s="94"/>
      <c r="F183" s="93"/>
      <c r="G183" s="93"/>
      <c r="H183" s="93"/>
      <c r="I183" s="43" t="str">
        <f>IF(AND(A183&gt;=Dashboard!$B$2,A183&lt;EDATE(Dashboard!$B$2,1),D183&lt;&gt;""),E183,"")</f>
        <v/>
      </c>
      <c r="J183" s="43" t="str">
        <f t="shared" si="1"/>
        <v/>
      </c>
    </row>
    <row r="184" ht="15.75" customHeight="1">
      <c r="A184" s="99"/>
      <c r="B184" s="93"/>
      <c r="C184" s="93"/>
      <c r="D184" s="93"/>
      <c r="E184" s="94"/>
      <c r="F184" s="93"/>
      <c r="G184" s="93"/>
      <c r="H184" s="93"/>
      <c r="I184" s="43" t="str">
        <f>IF(AND(A184&gt;=Dashboard!$B$2,A184&lt;EDATE(Dashboard!$B$2,1),D184&lt;&gt;""),E184,"")</f>
        <v/>
      </c>
      <c r="J184" s="43" t="str">
        <f t="shared" si="1"/>
        <v/>
      </c>
    </row>
    <row r="185" ht="15.75" customHeight="1">
      <c r="A185" s="99"/>
      <c r="B185" s="93"/>
      <c r="C185" s="93"/>
      <c r="D185" s="93"/>
      <c r="E185" s="94"/>
      <c r="F185" s="93"/>
      <c r="G185" s="93"/>
      <c r="H185" s="93"/>
      <c r="I185" s="43" t="str">
        <f>IF(AND(A185&gt;=Dashboard!$B$2,A185&lt;EDATE(Dashboard!$B$2,1),D185&lt;&gt;""),E185,"")</f>
        <v/>
      </c>
      <c r="J185" s="43" t="str">
        <f t="shared" si="1"/>
        <v/>
      </c>
    </row>
    <row r="186" ht="15.75" customHeight="1">
      <c r="A186" s="99"/>
      <c r="B186" s="93"/>
      <c r="C186" s="93"/>
      <c r="D186" s="93"/>
      <c r="E186" s="94"/>
      <c r="F186" s="93"/>
      <c r="G186" s="93"/>
      <c r="H186" s="93"/>
      <c r="I186" s="43" t="str">
        <f>IF(AND(A186&gt;=Dashboard!$B$2,A186&lt;EDATE(Dashboard!$B$2,1),D186&lt;&gt;""),E186,"")</f>
        <v/>
      </c>
      <c r="J186" s="43" t="str">
        <f t="shared" si="1"/>
        <v/>
      </c>
    </row>
    <row r="187" ht="15.75" customHeight="1">
      <c r="A187" s="99"/>
      <c r="B187" s="93"/>
      <c r="C187" s="93"/>
      <c r="D187" s="93"/>
      <c r="E187" s="94"/>
      <c r="F187" s="93"/>
      <c r="G187" s="93"/>
      <c r="H187" s="93"/>
      <c r="I187" s="43" t="str">
        <f>IF(AND(A187&gt;=Dashboard!$B$2,A187&lt;EDATE(Dashboard!$B$2,1),D187&lt;&gt;""),E187,"")</f>
        <v/>
      </c>
      <c r="J187" s="43" t="str">
        <f t="shared" si="1"/>
        <v/>
      </c>
    </row>
    <row r="188" ht="15.75" customHeight="1">
      <c r="A188" s="99"/>
      <c r="B188" s="93"/>
      <c r="C188" s="93"/>
      <c r="D188" s="93"/>
      <c r="E188" s="94"/>
      <c r="F188" s="93"/>
      <c r="G188" s="93"/>
      <c r="H188" s="93"/>
      <c r="I188" s="43" t="str">
        <f>IF(AND(A188&gt;=Dashboard!$B$2,A188&lt;EDATE(Dashboard!$B$2,1),D188&lt;&gt;""),E188,"")</f>
        <v/>
      </c>
      <c r="J188" s="43" t="str">
        <f t="shared" si="1"/>
        <v/>
      </c>
    </row>
    <row r="189" ht="15.75" customHeight="1">
      <c r="A189" s="99"/>
      <c r="B189" s="93"/>
      <c r="C189" s="93"/>
      <c r="D189" s="93"/>
      <c r="E189" s="94"/>
      <c r="F189" s="93"/>
      <c r="G189" s="93"/>
      <c r="H189" s="93"/>
      <c r="I189" s="43" t="str">
        <f>IF(AND(A189&gt;=Dashboard!$B$2,A189&lt;EDATE(Dashboard!$B$2,1),D189&lt;&gt;""),E189,"")</f>
        <v/>
      </c>
      <c r="J189" s="43" t="str">
        <f t="shared" si="1"/>
        <v/>
      </c>
    </row>
    <row r="190" ht="15.75" customHeight="1">
      <c r="A190" s="99"/>
      <c r="B190" s="93"/>
      <c r="C190" s="93"/>
      <c r="D190" s="93"/>
      <c r="E190" s="94"/>
      <c r="F190" s="93"/>
      <c r="G190" s="93"/>
      <c r="H190" s="93"/>
      <c r="I190" s="43" t="str">
        <f>IF(AND(A190&gt;=Dashboard!$B$2,A190&lt;EDATE(Dashboard!$B$2,1),D190&lt;&gt;""),E190,"")</f>
        <v/>
      </c>
      <c r="J190" s="43" t="str">
        <f t="shared" si="1"/>
        <v/>
      </c>
    </row>
    <row r="191" ht="15.75" customHeight="1">
      <c r="A191" s="99"/>
      <c r="B191" s="93"/>
      <c r="C191" s="93"/>
      <c r="D191" s="93"/>
      <c r="E191" s="94"/>
      <c r="F191" s="93"/>
      <c r="G191" s="93"/>
      <c r="H191" s="93"/>
      <c r="I191" s="43" t="str">
        <f>IF(AND(A191&gt;=Dashboard!$B$2,A191&lt;EDATE(Dashboard!$B$2,1),D191&lt;&gt;""),E191,"")</f>
        <v/>
      </c>
      <c r="J191" s="43" t="str">
        <f t="shared" si="1"/>
        <v/>
      </c>
    </row>
    <row r="192" ht="15.75" customHeight="1">
      <c r="A192" s="99"/>
      <c r="B192" s="93"/>
      <c r="C192" s="93"/>
      <c r="D192" s="93"/>
      <c r="E192" s="94"/>
      <c r="F192" s="93"/>
      <c r="G192" s="93"/>
      <c r="H192" s="93"/>
      <c r="I192" s="43" t="str">
        <f>IF(AND(A192&gt;=Dashboard!$B$2,A192&lt;EDATE(Dashboard!$B$2,1),D192&lt;&gt;""),E192,"")</f>
        <v/>
      </c>
      <c r="J192" s="43" t="str">
        <f t="shared" si="1"/>
        <v/>
      </c>
    </row>
    <row r="193" ht="15.75" customHeight="1">
      <c r="A193" s="99"/>
      <c r="B193" s="93"/>
      <c r="C193" s="93"/>
      <c r="D193" s="93"/>
      <c r="E193" s="94"/>
      <c r="F193" s="93"/>
      <c r="G193" s="93"/>
      <c r="H193" s="93"/>
      <c r="I193" s="43" t="str">
        <f>IF(AND(A193&gt;=Dashboard!$B$2,A193&lt;EDATE(Dashboard!$B$2,1),D193&lt;&gt;""),E193,"")</f>
        <v/>
      </c>
      <c r="J193" s="43" t="str">
        <f t="shared" si="1"/>
        <v/>
      </c>
    </row>
    <row r="194" ht="15.75" customHeight="1">
      <c r="A194" s="99"/>
      <c r="B194" s="93"/>
      <c r="C194" s="93"/>
      <c r="D194" s="93"/>
      <c r="E194" s="94"/>
      <c r="F194" s="93"/>
      <c r="G194" s="93"/>
      <c r="H194" s="93"/>
      <c r="I194" s="43" t="str">
        <f>IF(AND(A194&gt;=Dashboard!$B$2,A194&lt;EDATE(Dashboard!$B$2,1),D194&lt;&gt;""),E194,"")</f>
        <v/>
      </c>
      <c r="J194" s="43" t="str">
        <f t="shared" si="1"/>
        <v/>
      </c>
    </row>
    <row r="195" ht="15.75" customHeight="1">
      <c r="A195" s="99"/>
      <c r="B195" s="93"/>
      <c r="C195" s="93"/>
      <c r="D195" s="93"/>
      <c r="E195" s="94"/>
      <c r="F195" s="93"/>
      <c r="G195" s="93"/>
      <c r="H195" s="93"/>
      <c r="I195" s="43" t="str">
        <f>IF(AND(A195&gt;=Dashboard!$B$2,A195&lt;EDATE(Dashboard!$B$2,1),D195&lt;&gt;""),E195,"")</f>
        <v/>
      </c>
      <c r="J195" s="43" t="str">
        <f t="shared" si="1"/>
        <v/>
      </c>
    </row>
    <row r="196" ht="15.75" customHeight="1">
      <c r="A196" s="99"/>
      <c r="B196" s="93"/>
      <c r="C196" s="93"/>
      <c r="D196" s="93"/>
      <c r="E196" s="94"/>
      <c r="F196" s="93"/>
      <c r="G196" s="93"/>
      <c r="H196" s="93"/>
      <c r="I196" s="43" t="str">
        <f>IF(AND(A196&gt;=Dashboard!$B$2,A196&lt;EDATE(Dashboard!$B$2,1),D196&lt;&gt;""),E196,"")</f>
        <v/>
      </c>
      <c r="J196" s="43" t="str">
        <f t="shared" si="1"/>
        <v/>
      </c>
    </row>
    <row r="197" ht="15.75" customHeight="1">
      <c r="A197" s="99"/>
      <c r="B197" s="93"/>
      <c r="C197" s="93"/>
      <c r="D197" s="93"/>
      <c r="E197" s="94"/>
      <c r="F197" s="93"/>
      <c r="G197" s="93"/>
      <c r="H197" s="93"/>
      <c r="I197" s="43" t="str">
        <f>IF(AND(A197&gt;=Dashboard!$B$2,A197&lt;EDATE(Dashboard!$B$2,1),D197&lt;&gt;""),E197,"")</f>
        <v/>
      </c>
      <c r="J197" s="43" t="str">
        <f t="shared" si="1"/>
        <v/>
      </c>
    </row>
    <row r="198" ht="15.75" customHeight="1">
      <c r="A198" s="99"/>
      <c r="B198" s="93"/>
      <c r="C198" s="93"/>
      <c r="D198" s="93"/>
      <c r="E198" s="94"/>
      <c r="F198" s="93"/>
      <c r="G198" s="93"/>
      <c r="H198" s="93"/>
      <c r="I198" s="43" t="str">
        <f>IF(AND(A198&gt;=Dashboard!$B$2,A198&lt;EDATE(Dashboard!$B$2,1),D198&lt;&gt;""),E198,"")</f>
        <v/>
      </c>
      <c r="J198" s="43" t="str">
        <f t="shared" si="1"/>
        <v/>
      </c>
    </row>
    <row r="199" ht="15.75" customHeight="1">
      <c r="A199" s="99"/>
      <c r="B199" s="93"/>
      <c r="C199" s="93"/>
      <c r="D199" s="93"/>
      <c r="E199" s="94"/>
      <c r="F199" s="93"/>
      <c r="G199" s="93"/>
      <c r="H199" s="93"/>
      <c r="I199" s="43" t="str">
        <f>IF(AND(A199&gt;=Dashboard!$B$2,A199&lt;EDATE(Dashboard!$B$2,1),D199&lt;&gt;""),E199,"")</f>
        <v/>
      </c>
      <c r="J199" s="43" t="str">
        <f t="shared" si="1"/>
        <v/>
      </c>
    </row>
    <row r="200" ht="15.75" customHeight="1">
      <c r="A200" s="99"/>
      <c r="B200" s="93"/>
      <c r="C200" s="93"/>
      <c r="D200" s="93"/>
      <c r="E200" s="94"/>
      <c r="F200" s="93"/>
      <c r="G200" s="93"/>
      <c r="H200" s="93"/>
      <c r="I200" s="43" t="str">
        <f>IF(AND(A200&gt;=Dashboard!$B$2,A200&lt;EDATE(Dashboard!$B$2,1),D200&lt;&gt;""),E200,"")</f>
        <v/>
      </c>
      <c r="J200" s="43" t="str">
        <f t="shared" si="1"/>
        <v/>
      </c>
    </row>
    <row r="201" ht="15.75" customHeight="1">
      <c r="A201" s="99"/>
      <c r="B201" s="93"/>
      <c r="C201" s="93"/>
      <c r="D201" s="93"/>
      <c r="E201" s="94"/>
      <c r="F201" s="93"/>
      <c r="G201" s="93"/>
      <c r="H201" s="93"/>
      <c r="I201" s="43" t="str">
        <f>IF(AND(A201&gt;=Dashboard!$B$2,A201&lt;EDATE(Dashboard!$B$2,1),D201&lt;&gt;""),E201,"")</f>
        <v/>
      </c>
      <c r="J201" s="43" t="str">
        <f t="shared" si="1"/>
        <v/>
      </c>
    </row>
    <row r="202" ht="15.75" customHeight="1">
      <c r="A202" s="99"/>
      <c r="B202" s="93"/>
      <c r="C202" s="93"/>
      <c r="D202" s="93"/>
      <c r="E202" s="94"/>
      <c r="F202" s="93"/>
      <c r="G202" s="93"/>
      <c r="H202" s="93"/>
      <c r="I202" s="43" t="str">
        <f>IF(AND(A202&gt;=Dashboard!$B$2,A202&lt;EDATE(Dashboard!$B$2,1),D202&lt;&gt;""),E202,"")</f>
        <v/>
      </c>
      <c r="J202" s="43" t="str">
        <f t="shared" si="1"/>
        <v/>
      </c>
    </row>
    <row r="203" ht="15.75" customHeight="1">
      <c r="A203" s="99"/>
      <c r="B203" s="93"/>
      <c r="C203" s="93"/>
      <c r="D203" s="93"/>
      <c r="E203" s="94"/>
      <c r="F203" s="93"/>
      <c r="G203" s="93"/>
      <c r="H203" s="93"/>
      <c r="I203" s="43" t="str">
        <f>IF(AND(A203&gt;=Dashboard!$B$2,A203&lt;EDATE(Dashboard!$B$2,1),D203&lt;&gt;""),E203,"")</f>
        <v/>
      </c>
      <c r="J203" s="43" t="str">
        <f t="shared" si="1"/>
        <v/>
      </c>
    </row>
    <row r="204" ht="15.75" customHeight="1">
      <c r="A204" s="99"/>
      <c r="B204" s="93"/>
      <c r="C204" s="93"/>
      <c r="D204" s="93"/>
      <c r="E204" s="94"/>
      <c r="F204" s="93"/>
      <c r="G204" s="93"/>
      <c r="H204" s="93"/>
      <c r="I204" s="43" t="str">
        <f>IF(AND(A204&gt;=Dashboard!$B$2,A204&lt;EDATE(Dashboard!$B$2,1),D204&lt;&gt;""),E204,"")</f>
        <v/>
      </c>
      <c r="J204" s="43" t="str">
        <f t="shared" si="1"/>
        <v/>
      </c>
    </row>
    <row r="205" ht="15.75" customHeight="1">
      <c r="A205" s="99"/>
      <c r="B205" s="93"/>
      <c r="C205" s="93"/>
      <c r="D205" s="93"/>
      <c r="E205" s="94"/>
      <c r="F205" s="93"/>
      <c r="G205" s="93"/>
      <c r="H205" s="93"/>
      <c r="I205" s="43" t="str">
        <f>IF(AND(A205&gt;=Dashboard!$B$2,A205&lt;EDATE(Dashboard!$B$2,1),D205&lt;&gt;""),E205,"")</f>
        <v/>
      </c>
      <c r="J205" s="43" t="str">
        <f t="shared" si="1"/>
        <v/>
      </c>
    </row>
    <row r="206" ht="15.75" customHeight="1">
      <c r="A206" s="99"/>
      <c r="B206" s="93"/>
      <c r="C206" s="93"/>
      <c r="D206" s="93"/>
      <c r="E206" s="94"/>
      <c r="F206" s="93"/>
      <c r="G206" s="93"/>
      <c r="H206" s="93"/>
      <c r="I206" s="43" t="str">
        <f>IF(AND(A206&gt;=Dashboard!$B$2,A206&lt;EDATE(Dashboard!$B$2,1),D206&lt;&gt;""),E206,"")</f>
        <v/>
      </c>
      <c r="J206" s="43" t="str">
        <f t="shared" si="1"/>
        <v/>
      </c>
    </row>
    <row r="207" ht="15.75" customHeight="1">
      <c r="A207" s="99"/>
      <c r="B207" s="93"/>
      <c r="C207" s="93"/>
      <c r="D207" s="93"/>
      <c r="E207" s="94"/>
      <c r="F207" s="93"/>
      <c r="G207" s="93"/>
      <c r="H207" s="93"/>
      <c r="I207" s="43" t="str">
        <f>IF(AND(A207&gt;=Dashboard!$B$2,A207&lt;EDATE(Dashboard!$B$2,1),D207&lt;&gt;""),E207,"")</f>
        <v/>
      </c>
      <c r="J207" s="43" t="str">
        <f t="shared" si="1"/>
        <v/>
      </c>
    </row>
    <row r="208" ht="15.75" customHeight="1">
      <c r="A208" s="99"/>
      <c r="B208" s="93"/>
      <c r="C208" s="93"/>
      <c r="D208" s="93"/>
      <c r="E208" s="94"/>
      <c r="F208" s="93"/>
      <c r="G208" s="93"/>
      <c r="H208" s="93"/>
      <c r="I208" s="43" t="str">
        <f>IF(AND(A208&gt;=Dashboard!$B$2,A208&lt;EDATE(Dashboard!$B$2,1),D208&lt;&gt;""),E208,"")</f>
        <v/>
      </c>
      <c r="J208" s="43" t="str">
        <f t="shared" si="1"/>
        <v/>
      </c>
    </row>
    <row r="209" ht="15.75" customHeight="1">
      <c r="A209" s="99"/>
      <c r="B209" s="93"/>
      <c r="C209" s="93"/>
      <c r="D209" s="93"/>
      <c r="E209" s="94"/>
      <c r="F209" s="93"/>
      <c r="G209" s="93"/>
      <c r="H209" s="93"/>
      <c r="I209" s="43" t="str">
        <f>IF(AND(A209&gt;=Dashboard!$B$2,A209&lt;EDATE(Dashboard!$B$2,1),D209&lt;&gt;""),E209,"")</f>
        <v/>
      </c>
      <c r="J209" s="43" t="str">
        <f t="shared" si="1"/>
        <v/>
      </c>
    </row>
    <row r="210" ht="15.75" customHeight="1">
      <c r="A210" s="99"/>
      <c r="B210" s="93"/>
      <c r="C210" s="93"/>
      <c r="D210" s="93"/>
      <c r="E210" s="94"/>
      <c r="F210" s="93"/>
      <c r="G210" s="93"/>
      <c r="H210" s="93"/>
      <c r="I210" s="43" t="str">
        <f>IF(AND(A210&gt;=Dashboard!$B$2,A210&lt;EDATE(Dashboard!$B$2,1),D210&lt;&gt;""),E210,"")</f>
        <v/>
      </c>
      <c r="J210" s="43" t="str">
        <f t="shared" si="1"/>
        <v/>
      </c>
    </row>
    <row r="211" ht="15.75" customHeight="1">
      <c r="A211" s="99"/>
      <c r="B211" s="93"/>
      <c r="C211" s="93"/>
      <c r="D211" s="93"/>
      <c r="E211" s="94"/>
      <c r="F211" s="93"/>
      <c r="G211" s="93"/>
      <c r="H211" s="93"/>
      <c r="I211" s="43" t="str">
        <f>IF(AND(A211&gt;=Dashboard!$B$2,A211&lt;EDATE(Dashboard!$B$2,1),D211&lt;&gt;""),E211,"")</f>
        <v/>
      </c>
      <c r="J211" s="43" t="str">
        <f t="shared" si="1"/>
        <v/>
      </c>
    </row>
    <row r="212" ht="15.75" customHeight="1">
      <c r="A212" s="99"/>
      <c r="B212" s="93"/>
      <c r="C212" s="93"/>
      <c r="D212" s="93"/>
      <c r="E212" s="94"/>
      <c r="F212" s="93"/>
      <c r="G212" s="93"/>
      <c r="H212" s="93"/>
      <c r="I212" s="43" t="str">
        <f>IF(AND(A212&gt;=Dashboard!$B$2,A212&lt;EDATE(Dashboard!$B$2,1),D212&lt;&gt;""),E212,"")</f>
        <v/>
      </c>
      <c r="J212" s="43" t="str">
        <f t="shared" si="1"/>
        <v/>
      </c>
    </row>
    <row r="213" ht="15.75" customHeight="1">
      <c r="A213" s="99"/>
      <c r="B213" s="93"/>
      <c r="C213" s="93"/>
      <c r="D213" s="93"/>
      <c r="E213" s="94"/>
      <c r="F213" s="93"/>
      <c r="G213" s="93"/>
      <c r="H213" s="93"/>
      <c r="I213" s="43" t="str">
        <f>IF(AND(A213&gt;=Dashboard!$B$2,A213&lt;EDATE(Dashboard!$B$2,1),D213&lt;&gt;""),E213,"")</f>
        <v/>
      </c>
      <c r="J213" s="43" t="str">
        <f t="shared" si="1"/>
        <v/>
      </c>
    </row>
    <row r="214" ht="15.75" customHeight="1">
      <c r="A214" s="99"/>
      <c r="B214" s="93"/>
      <c r="C214" s="93"/>
      <c r="D214" s="93"/>
      <c r="E214" s="94"/>
      <c r="F214" s="93"/>
      <c r="G214" s="93"/>
      <c r="H214" s="93"/>
      <c r="I214" s="43" t="str">
        <f>IF(AND(A214&gt;=Dashboard!$B$2,A214&lt;EDATE(Dashboard!$B$2,1),D214&lt;&gt;""),E214,"")</f>
        <v/>
      </c>
      <c r="J214" s="43" t="str">
        <f t="shared" si="1"/>
        <v/>
      </c>
    </row>
    <row r="215" ht="15.75" customHeight="1">
      <c r="A215" s="99"/>
      <c r="B215" s="93"/>
      <c r="C215" s="93"/>
      <c r="D215" s="93"/>
      <c r="E215" s="94"/>
      <c r="F215" s="93"/>
      <c r="G215" s="93"/>
      <c r="H215" s="93"/>
      <c r="I215" s="43" t="str">
        <f>IF(AND(A215&gt;=Dashboard!$B$2,A215&lt;EDATE(Dashboard!$B$2,1),D215&lt;&gt;""),E215,"")</f>
        <v/>
      </c>
      <c r="J215" s="43" t="str">
        <f t="shared" si="1"/>
        <v/>
      </c>
    </row>
    <row r="216" ht="15.75" customHeight="1">
      <c r="A216" s="99"/>
      <c r="B216" s="93"/>
      <c r="C216" s="93"/>
      <c r="D216" s="93"/>
      <c r="E216" s="94"/>
      <c r="F216" s="93"/>
      <c r="G216" s="93"/>
      <c r="H216" s="93"/>
      <c r="I216" s="43" t="str">
        <f>IF(AND(A216&gt;=Dashboard!$B$2,A216&lt;EDATE(Dashboard!$B$2,1),D216&lt;&gt;""),E216,"")</f>
        <v/>
      </c>
      <c r="J216" s="43" t="str">
        <f t="shared" si="1"/>
        <v/>
      </c>
    </row>
    <row r="217" ht="15.75" customHeight="1">
      <c r="A217" s="99"/>
      <c r="B217" s="93"/>
      <c r="C217" s="93"/>
      <c r="D217" s="93"/>
      <c r="E217" s="94"/>
      <c r="F217" s="93"/>
      <c r="G217" s="93"/>
      <c r="H217" s="93"/>
      <c r="I217" s="43" t="str">
        <f>IF(AND(A217&gt;=Dashboard!$B$2,A217&lt;EDATE(Dashboard!$B$2,1),D217&lt;&gt;""),E217,"")</f>
        <v/>
      </c>
      <c r="J217" s="43" t="str">
        <f t="shared" si="1"/>
        <v/>
      </c>
    </row>
    <row r="218" ht="15.75" customHeight="1">
      <c r="A218" s="99"/>
      <c r="B218" s="93"/>
      <c r="C218" s="93"/>
      <c r="D218" s="93"/>
      <c r="E218" s="94"/>
      <c r="F218" s="93"/>
      <c r="G218" s="93"/>
      <c r="H218" s="93"/>
      <c r="I218" s="43" t="str">
        <f>IF(AND(A218&gt;=Dashboard!$B$2,A218&lt;EDATE(Dashboard!$B$2,1),D218&lt;&gt;""),E218,"")</f>
        <v/>
      </c>
      <c r="J218" s="43" t="str">
        <f t="shared" si="1"/>
        <v/>
      </c>
    </row>
    <row r="219" ht="15.75" customHeight="1">
      <c r="A219" s="99"/>
      <c r="B219" s="93"/>
      <c r="C219" s="93"/>
      <c r="D219" s="93"/>
      <c r="E219" s="94"/>
      <c r="F219" s="93"/>
      <c r="G219" s="93"/>
      <c r="H219" s="93"/>
      <c r="I219" s="43" t="str">
        <f>IF(AND(A219&gt;=Dashboard!$B$2,A219&lt;EDATE(Dashboard!$B$2,1),D219&lt;&gt;""),E219,"")</f>
        <v/>
      </c>
      <c r="J219" s="43" t="str">
        <f t="shared" si="1"/>
        <v/>
      </c>
    </row>
    <row r="220" ht="15.75" customHeight="1">
      <c r="A220" s="99"/>
      <c r="B220" s="93"/>
      <c r="C220" s="93"/>
      <c r="D220" s="93"/>
      <c r="E220" s="94"/>
      <c r="F220" s="93"/>
      <c r="G220" s="93"/>
      <c r="H220" s="93"/>
      <c r="I220" s="43" t="str">
        <f>IF(AND(A220&gt;=Dashboard!$B$2,A220&lt;EDATE(Dashboard!$B$2,1),D220&lt;&gt;""),E220,"")</f>
        <v/>
      </c>
      <c r="J220" s="43" t="str">
        <f t="shared" si="1"/>
        <v/>
      </c>
    </row>
    <row r="221" ht="15.75" customHeight="1">
      <c r="A221" s="99"/>
      <c r="B221" s="93"/>
      <c r="C221" s="93"/>
      <c r="D221" s="93"/>
      <c r="E221" s="94"/>
      <c r="F221" s="93"/>
      <c r="G221" s="93"/>
      <c r="H221" s="93"/>
      <c r="I221" s="43" t="str">
        <f>IF(AND(A221&gt;=Dashboard!$B$2,A221&lt;EDATE(Dashboard!$B$2,1),D221&lt;&gt;""),E221,"")</f>
        <v/>
      </c>
      <c r="J221" s="43" t="str">
        <f t="shared" si="1"/>
        <v/>
      </c>
    </row>
    <row r="222" ht="15.75" customHeight="1">
      <c r="A222" s="99"/>
      <c r="B222" s="93"/>
      <c r="C222" s="93"/>
      <c r="D222" s="93"/>
      <c r="E222" s="94"/>
      <c r="F222" s="93"/>
      <c r="G222" s="93"/>
      <c r="H222" s="93"/>
      <c r="I222" s="43" t="str">
        <f>IF(AND(A222&gt;=Dashboard!$B$2,A222&lt;EDATE(Dashboard!$B$2,1),D222&lt;&gt;""),E222,"")</f>
        <v/>
      </c>
      <c r="J222" s="43" t="str">
        <f t="shared" si="1"/>
        <v/>
      </c>
    </row>
    <row r="223" ht="15.75" customHeight="1">
      <c r="A223" s="99"/>
      <c r="B223" s="93"/>
      <c r="C223" s="93"/>
      <c r="D223" s="93"/>
      <c r="E223" s="94"/>
      <c r="F223" s="93"/>
      <c r="G223" s="93"/>
      <c r="H223" s="93"/>
      <c r="I223" s="43" t="str">
        <f>IF(AND(A223&gt;=Dashboard!$B$2,A223&lt;EDATE(Dashboard!$B$2,1),D223&lt;&gt;""),E223,"")</f>
        <v/>
      </c>
      <c r="J223" s="43" t="str">
        <f t="shared" si="1"/>
        <v/>
      </c>
    </row>
    <row r="224" ht="15.75" customHeight="1">
      <c r="A224" s="99"/>
      <c r="B224" s="93"/>
      <c r="C224" s="93"/>
      <c r="D224" s="93"/>
      <c r="E224" s="94"/>
      <c r="F224" s="93"/>
      <c r="G224" s="93"/>
      <c r="H224" s="93"/>
      <c r="I224" s="43" t="str">
        <f>IF(AND(A224&gt;=Dashboard!$B$2,A224&lt;EDATE(Dashboard!$B$2,1),D224&lt;&gt;""),E224,"")</f>
        <v/>
      </c>
      <c r="J224" s="43" t="str">
        <f t="shared" si="1"/>
        <v/>
      </c>
    </row>
    <row r="225" ht="15.75" customHeight="1">
      <c r="A225" s="99"/>
      <c r="B225" s="93"/>
      <c r="C225" s="93"/>
      <c r="D225" s="93"/>
      <c r="E225" s="94"/>
      <c r="F225" s="93"/>
      <c r="G225" s="93"/>
      <c r="H225" s="93"/>
      <c r="I225" s="43" t="str">
        <f>IF(AND(A225&gt;=Dashboard!$B$2,A225&lt;EDATE(Dashboard!$B$2,1),D225&lt;&gt;""),E225,"")</f>
        <v/>
      </c>
      <c r="J225" s="43" t="str">
        <f t="shared" si="1"/>
        <v/>
      </c>
    </row>
    <row r="226" ht="15.75" customHeight="1">
      <c r="A226" s="99"/>
      <c r="B226" s="93"/>
      <c r="C226" s="93"/>
      <c r="D226" s="93"/>
      <c r="E226" s="94"/>
      <c r="F226" s="93"/>
      <c r="G226" s="93"/>
      <c r="H226" s="93"/>
      <c r="I226" s="43" t="str">
        <f>IF(AND(A226&gt;=Dashboard!$B$2,A226&lt;EDATE(Dashboard!$B$2,1),D226&lt;&gt;""),E226,"")</f>
        <v/>
      </c>
      <c r="J226" s="43" t="str">
        <f t="shared" si="1"/>
        <v/>
      </c>
    </row>
    <row r="227" ht="15.75" customHeight="1">
      <c r="A227" s="99"/>
      <c r="B227" s="93"/>
      <c r="C227" s="93"/>
      <c r="D227" s="93"/>
      <c r="E227" s="94"/>
      <c r="F227" s="93"/>
      <c r="G227" s="93"/>
      <c r="H227" s="93"/>
      <c r="I227" s="43" t="str">
        <f>IF(AND(A227&gt;=Dashboard!$B$2,A227&lt;EDATE(Dashboard!$B$2,1),D227&lt;&gt;""),E227,"")</f>
        <v/>
      </c>
      <c r="J227" s="43" t="str">
        <f t="shared" si="1"/>
        <v/>
      </c>
    </row>
    <row r="228" ht="15.75" customHeight="1">
      <c r="A228" s="99"/>
      <c r="B228" s="93"/>
      <c r="C228" s="93"/>
      <c r="D228" s="93"/>
      <c r="E228" s="94"/>
      <c r="F228" s="93"/>
      <c r="G228" s="93"/>
      <c r="H228" s="93"/>
      <c r="I228" s="43" t="str">
        <f>IF(AND(A228&gt;=Dashboard!$B$2,A228&lt;EDATE(Dashboard!$B$2,1),D228&lt;&gt;""),E228,"")</f>
        <v/>
      </c>
      <c r="J228" s="43" t="str">
        <f t="shared" si="1"/>
        <v/>
      </c>
    </row>
    <row r="229" ht="15.75" customHeight="1">
      <c r="A229" s="99"/>
      <c r="B229" s="93"/>
      <c r="C229" s="93"/>
      <c r="D229" s="93"/>
      <c r="E229" s="94"/>
      <c r="F229" s="93"/>
      <c r="G229" s="93"/>
      <c r="H229" s="93"/>
      <c r="I229" s="43" t="str">
        <f>IF(AND(A229&gt;=Dashboard!$B$2,A229&lt;EDATE(Dashboard!$B$2,1),D229&lt;&gt;""),E229,"")</f>
        <v/>
      </c>
      <c r="J229" s="43" t="str">
        <f t="shared" si="1"/>
        <v/>
      </c>
    </row>
    <row r="230" ht="15.75" customHeight="1">
      <c r="A230" s="99"/>
      <c r="B230" s="93"/>
      <c r="C230" s="93"/>
      <c r="D230" s="93"/>
      <c r="E230" s="94"/>
      <c r="F230" s="93"/>
      <c r="G230" s="93"/>
      <c r="H230" s="93"/>
      <c r="I230" s="43" t="str">
        <f>IF(AND(A230&gt;=Dashboard!$B$2,A230&lt;EDATE(Dashboard!$B$2,1),D230&lt;&gt;""),E230,"")</f>
        <v/>
      </c>
      <c r="J230" s="43" t="str">
        <f t="shared" si="1"/>
        <v/>
      </c>
    </row>
    <row r="231" ht="15.75" customHeight="1">
      <c r="A231" s="99"/>
      <c r="B231" s="93"/>
      <c r="C231" s="93"/>
      <c r="D231" s="93"/>
      <c r="E231" s="94"/>
      <c r="F231" s="93"/>
      <c r="G231" s="93"/>
      <c r="H231" s="93"/>
      <c r="I231" s="43" t="str">
        <f>IF(AND(A231&gt;=Dashboard!$B$2,A231&lt;EDATE(Dashboard!$B$2,1),D231&lt;&gt;""),E231,"")</f>
        <v/>
      </c>
      <c r="J231" s="43" t="str">
        <f t="shared" si="1"/>
        <v/>
      </c>
    </row>
    <row r="232" ht="15.75" customHeight="1">
      <c r="A232" s="99"/>
      <c r="B232" s="93"/>
      <c r="C232" s="93"/>
      <c r="D232" s="93"/>
      <c r="E232" s="94"/>
      <c r="F232" s="93"/>
      <c r="G232" s="93"/>
      <c r="H232" s="93"/>
      <c r="I232" s="43" t="str">
        <f>IF(AND(A232&gt;=Dashboard!$B$2,A232&lt;EDATE(Dashboard!$B$2,1),D232&lt;&gt;""),E232,"")</f>
        <v/>
      </c>
      <c r="J232" s="43" t="str">
        <f t="shared" si="1"/>
        <v/>
      </c>
    </row>
    <row r="233" ht="15.75" customHeight="1">
      <c r="A233" s="99"/>
      <c r="B233" s="93"/>
      <c r="C233" s="93"/>
      <c r="D233" s="93"/>
      <c r="E233" s="94"/>
      <c r="F233" s="93"/>
      <c r="G233" s="93"/>
      <c r="H233" s="93"/>
      <c r="I233" s="43" t="str">
        <f>IF(AND(A233&gt;=Dashboard!$B$2,A233&lt;EDATE(Dashboard!$B$2,1),D233&lt;&gt;""),E233,"")</f>
        <v/>
      </c>
      <c r="J233" s="43" t="str">
        <f t="shared" si="1"/>
        <v/>
      </c>
    </row>
    <row r="234" ht="15.75" customHeight="1">
      <c r="A234" s="99"/>
      <c r="B234" s="93"/>
      <c r="C234" s="93"/>
      <c r="D234" s="93"/>
      <c r="E234" s="94"/>
      <c r="F234" s="93"/>
      <c r="G234" s="93"/>
      <c r="H234" s="93"/>
      <c r="I234" s="43" t="str">
        <f>IF(AND(A234&gt;=Dashboard!$B$2,A234&lt;EDATE(Dashboard!$B$2,1),D234&lt;&gt;""),E234,"")</f>
        <v/>
      </c>
      <c r="J234" s="43" t="str">
        <f t="shared" si="1"/>
        <v/>
      </c>
    </row>
    <row r="235" ht="15.75" customHeight="1">
      <c r="A235" s="99"/>
      <c r="B235" s="93"/>
      <c r="C235" s="93"/>
      <c r="D235" s="93"/>
      <c r="E235" s="94"/>
      <c r="F235" s="93"/>
      <c r="G235" s="93"/>
      <c r="H235" s="93"/>
      <c r="I235" s="43" t="str">
        <f>IF(AND(A235&gt;=Dashboard!$B$2,A235&lt;EDATE(Dashboard!$B$2,1),D235&lt;&gt;""),E235,"")</f>
        <v/>
      </c>
      <c r="J235" s="43" t="str">
        <f t="shared" si="1"/>
        <v/>
      </c>
    </row>
    <row r="236" ht="15.75" customHeight="1">
      <c r="A236" s="99"/>
      <c r="B236" s="93"/>
      <c r="C236" s="93"/>
      <c r="D236" s="93"/>
      <c r="E236" s="94"/>
      <c r="F236" s="93"/>
      <c r="G236" s="93"/>
      <c r="H236" s="93"/>
      <c r="I236" s="43" t="str">
        <f>IF(AND(A236&gt;=Dashboard!$B$2,A236&lt;EDATE(Dashboard!$B$2,1),D236&lt;&gt;""),E236,"")</f>
        <v/>
      </c>
      <c r="J236" s="43" t="str">
        <f t="shared" si="1"/>
        <v/>
      </c>
    </row>
    <row r="237" ht="15.75" customHeight="1">
      <c r="A237" s="99"/>
      <c r="B237" s="93"/>
      <c r="C237" s="93"/>
      <c r="D237" s="93"/>
      <c r="E237" s="94"/>
      <c r="F237" s="93"/>
      <c r="G237" s="93"/>
      <c r="H237" s="93"/>
      <c r="I237" s="43" t="str">
        <f>IF(AND(A237&gt;=Dashboard!$B$2,A237&lt;EDATE(Dashboard!$B$2,1),D237&lt;&gt;""),E237,"")</f>
        <v/>
      </c>
      <c r="J237" s="43" t="str">
        <f t="shared" si="1"/>
        <v/>
      </c>
    </row>
    <row r="238" ht="15.75" customHeight="1">
      <c r="A238" s="99"/>
      <c r="B238" s="93"/>
      <c r="C238" s="93"/>
      <c r="D238" s="93"/>
      <c r="E238" s="94"/>
      <c r="F238" s="93"/>
      <c r="G238" s="93"/>
      <c r="H238" s="93"/>
      <c r="I238" s="43" t="str">
        <f>IF(AND(A238&gt;=Dashboard!$B$2,A238&lt;EDATE(Dashboard!$B$2,1),D238&lt;&gt;""),E238,"")</f>
        <v/>
      </c>
      <c r="J238" s="43" t="str">
        <f t="shared" si="1"/>
        <v/>
      </c>
    </row>
    <row r="239" ht="15.75" customHeight="1">
      <c r="A239" s="99"/>
      <c r="B239" s="93"/>
      <c r="C239" s="93"/>
      <c r="D239" s="93"/>
      <c r="E239" s="94"/>
      <c r="F239" s="93"/>
      <c r="G239" s="93"/>
      <c r="H239" s="93"/>
      <c r="I239" s="43" t="str">
        <f>IF(AND(A239&gt;=Dashboard!$B$2,A239&lt;EDATE(Dashboard!$B$2,1),D239&lt;&gt;""),E239,"")</f>
        <v/>
      </c>
      <c r="J239" s="43" t="str">
        <f t="shared" si="1"/>
        <v/>
      </c>
    </row>
    <row r="240" ht="15.75" customHeight="1">
      <c r="A240" s="99"/>
      <c r="B240" s="93"/>
      <c r="C240" s="93"/>
      <c r="D240" s="93"/>
      <c r="E240" s="94"/>
      <c r="F240" s="93"/>
      <c r="G240" s="93"/>
      <c r="H240" s="93"/>
      <c r="I240" s="43" t="str">
        <f>IF(AND(A240&gt;=Dashboard!$B$2,A240&lt;EDATE(Dashboard!$B$2,1),D240&lt;&gt;""),E240,"")</f>
        <v/>
      </c>
      <c r="J240" s="43" t="str">
        <f t="shared" si="1"/>
        <v/>
      </c>
    </row>
    <row r="241" ht="15.75" customHeight="1">
      <c r="A241" s="99"/>
      <c r="B241" s="93"/>
      <c r="C241" s="93"/>
      <c r="D241" s="93"/>
      <c r="E241" s="94"/>
      <c r="F241" s="93"/>
      <c r="G241" s="93"/>
      <c r="H241" s="93"/>
      <c r="I241" s="43" t="str">
        <f>IF(AND(A241&gt;=Dashboard!$B$2,A241&lt;EDATE(Dashboard!$B$2,1),D241&lt;&gt;""),E241,"")</f>
        <v/>
      </c>
      <c r="J241" s="43" t="str">
        <f t="shared" si="1"/>
        <v/>
      </c>
    </row>
    <row r="242" ht="15.75" customHeight="1">
      <c r="A242" s="99"/>
      <c r="B242" s="93"/>
      <c r="C242" s="93"/>
      <c r="D242" s="93"/>
      <c r="E242" s="94"/>
      <c r="F242" s="93"/>
      <c r="G242" s="93"/>
      <c r="H242" s="93"/>
      <c r="I242" s="43" t="str">
        <f>IF(AND(A242&gt;=Dashboard!$B$2,A242&lt;EDATE(Dashboard!$B$2,1),D242&lt;&gt;""),E242,"")</f>
        <v/>
      </c>
      <c r="J242" s="43" t="str">
        <f t="shared" si="1"/>
        <v/>
      </c>
    </row>
    <row r="243" ht="15.75" customHeight="1">
      <c r="A243" s="99"/>
      <c r="B243" s="93"/>
      <c r="C243" s="93"/>
      <c r="D243" s="93"/>
      <c r="E243" s="94"/>
      <c r="F243" s="93"/>
      <c r="G243" s="93"/>
      <c r="H243" s="93"/>
      <c r="I243" s="43" t="str">
        <f>IF(AND(A243&gt;=Dashboard!$B$2,A243&lt;EDATE(Dashboard!$B$2,1),D243&lt;&gt;""),E243,"")</f>
        <v/>
      </c>
      <c r="J243" s="43" t="str">
        <f t="shared" si="1"/>
        <v/>
      </c>
    </row>
    <row r="244" ht="15.75" customHeight="1">
      <c r="A244" s="99"/>
      <c r="B244" s="93"/>
      <c r="C244" s="93"/>
      <c r="D244" s="93"/>
      <c r="E244" s="94"/>
      <c r="F244" s="93"/>
      <c r="G244" s="93"/>
      <c r="H244" s="93"/>
      <c r="I244" s="43" t="str">
        <f>IF(AND(A244&gt;=Dashboard!$B$2,A244&lt;EDATE(Dashboard!$B$2,1),D244&lt;&gt;""),E244,"")</f>
        <v/>
      </c>
      <c r="J244" s="43" t="str">
        <f t="shared" si="1"/>
        <v/>
      </c>
    </row>
    <row r="245" ht="15.75" customHeight="1">
      <c r="A245" s="99"/>
      <c r="B245" s="93"/>
      <c r="C245" s="93"/>
      <c r="D245" s="93"/>
      <c r="E245" s="94"/>
      <c r="F245" s="93"/>
      <c r="G245" s="93"/>
      <c r="H245" s="93"/>
      <c r="I245" s="43" t="str">
        <f>IF(AND(A245&gt;=Dashboard!$B$2,A245&lt;EDATE(Dashboard!$B$2,1),D245&lt;&gt;""),E245,"")</f>
        <v/>
      </c>
      <c r="J245" s="43" t="str">
        <f t="shared" si="1"/>
        <v/>
      </c>
    </row>
    <row r="246" ht="15.75" customHeight="1">
      <c r="A246" s="99"/>
      <c r="B246" s="93"/>
      <c r="C246" s="93"/>
      <c r="D246" s="93"/>
      <c r="E246" s="94"/>
      <c r="F246" s="93"/>
      <c r="G246" s="93"/>
      <c r="H246" s="93"/>
      <c r="I246" s="43" t="str">
        <f>IF(AND(A246&gt;=Dashboard!$B$2,A246&lt;EDATE(Dashboard!$B$2,1),D246&lt;&gt;""),E246,"")</f>
        <v/>
      </c>
      <c r="J246" s="43" t="str">
        <f t="shared" si="1"/>
        <v/>
      </c>
    </row>
    <row r="247" ht="15.75" customHeight="1">
      <c r="A247" s="99"/>
      <c r="B247" s="93"/>
      <c r="C247" s="93"/>
      <c r="D247" s="93"/>
      <c r="E247" s="94"/>
      <c r="F247" s="93"/>
      <c r="G247" s="93"/>
      <c r="H247" s="93"/>
      <c r="I247" s="43" t="str">
        <f>IF(AND(A247&gt;=Dashboard!$B$2,A247&lt;EDATE(Dashboard!$B$2,1),D247&lt;&gt;""),E247,"")</f>
        <v/>
      </c>
      <c r="J247" s="43" t="str">
        <f t="shared" si="1"/>
        <v/>
      </c>
    </row>
    <row r="248" ht="15.75" customHeight="1">
      <c r="A248" s="99"/>
      <c r="B248" s="93"/>
      <c r="C248" s="93"/>
      <c r="D248" s="93"/>
      <c r="E248" s="94"/>
      <c r="F248" s="93"/>
      <c r="G248" s="93"/>
      <c r="H248" s="93"/>
      <c r="I248" s="43" t="str">
        <f>IF(AND(A248&gt;=Dashboard!$B$2,A248&lt;EDATE(Dashboard!$B$2,1),D248&lt;&gt;""),E248,"")</f>
        <v/>
      </c>
      <c r="J248" s="43" t="str">
        <f t="shared" si="1"/>
        <v/>
      </c>
    </row>
    <row r="249" ht="15.75" customHeight="1">
      <c r="A249" s="99"/>
      <c r="B249" s="93"/>
      <c r="C249" s="93"/>
      <c r="D249" s="93"/>
      <c r="E249" s="94"/>
      <c r="F249" s="93"/>
      <c r="G249" s="93"/>
      <c r="H249" s="93"/>
      <c r="I249" s="43" t="str">
        <f>IF(AND(A249&gt;=Dashboard!$B$2,A249&lt;EDATE(Dashboard!$B$2,1),D249&lt;&gt;""),E249,"")</f>
        <v/>
      </c>
      <c r="J249" s="43" t="str">
        <f t="shared" si="1"/>
        <v/>
      </c>
    </row>
    <row r="250" ht="15.75" customHeight="1">
      <c r="A250" s="99"/>
      <c r="B250" s="93"/>
      <c r="C250" s="93"/>
      <c r="D250" s="93"/>
      <c r="E250" s="94"/>
      <c r="F250" s="93"/>
      <c r="G250" s="93"/>
      <c r="H250" s="93"/>
      <c r="I250" s="43" t="str">
        <f>IF(AND(A250&gt;=Dashboard!$B$2,A250&lt;EDATE(Dashboard!$B$2,1),D250&lt;&gt;""),E250,"")</f>
        <v/>
      </c>
      <c r="J250" s="43" t="str">
        <f t="shared" si="1"/>
        <v/>
      </c>
    </row>
    <row r="251" ht="15.75" customHeight="1">
      <c r="A251" s="99"/>
      <c r="B251" s="93"/>
      <c r="C251" s="93"/>
      <c r="D251" s="93"/>
      <c r="E251" s="94"/>
      <c r="F251" s="93"/>
      <c r="G251" s="93"/>
      <c r="H251" s="93"/>
      <c r="I251" s="43" t="str">
        <f>IF(AND(A251&gt;=Dashboard!$B$2,A251&lt;EDATE(Dashboard!$B$2,1),D251&lt;&gt;""),E251,"")</f>
        <v/>
      </c>
      <c r="J251" s="43" t="str">
        <f t="shared" si="1"/>
        <v/>
      </c>
    </row>
    <row r="252" ht="15.75" customHeight="1">
      <c r="A252" s="99"/>
      <c r="B252" s="93"/>
      <c r="C252" s="93"/>
      <c r="D252" s="93"/>
      <c r="E252" s="94"/>
      <c r="F252" s="93"/>
      <c r="G252" s="93"/>
      <c r="H252" s="93"/>
      <c r="I252" s="43" t="str">
        <f>IF(AND(A252&gt;=Dashboard!$B$2,A252&lt;EDATE(Dashboard!$B$2,1),D252&lt;&gt;""),E252,"")</f>
        <v/>
      </c>
      <c r="J252" s="43" t="str">
        <f t="shared" si="1"/>
        <v/>
      </c>
    </row>
    <row r="253" ht="15.75" customHeight="1">
      <c r="A253" s="99"/>
      <c r="B253" s="93"/>
      <c r="C253" s="93"/>
      <c r="D253" s="93"/>
      <c r="E253" s="94"/>
      <c r="F253" s="93"/>
      <c r="G253" s="93"/>
      <c r="H253" s="93"/>
      <c r="I253" s="43" t="str">
        <f>IF(AND(A253&gt;=Dashboard!$B$2,A253&lt;EDATE(Dashboard!$B$2,1),D253&lt;&gt;""),E253,"")</f>
        <v/>
      </c>
      <c r="J253" s="43" t="str">
        <f t="shared" si="1"/>
        <v/>
      </c>
    </row>
    <row r="254" ht="15.75" customHeight="1">
      <c r="A254" s="99"/>
      <c r="B254" s="93"/>
      <c r="C254" s="93"/>
      <c r="D254" s="93"/>
      <c r="E254" s="94"/>
      <c r="F254" s="93"/>
      <c r="G254" s="93"/>
      <c r="H254" s="93"/>
      <c r="I254" s="43" t="str">
        <f>IF(AND(A254&gt;=Dashboard!$B$2,A254&lt;EDATE(Dashboard!$B$2,1),D254&lt;&gt;""),E254,"")</f>
        <v/>
      </c>
      <c r="J254" s="43" t="str">
        <f t="shared" si="1"/>
        <v/>
      </c>
    </row>
    <row r="255" ht="15.75" customHeight="1">
      <c r="A255" s="99"/>
      <c r="B255" s="93"/>
      <c r="C255" s="93"/>
      <c r="D255" s="93"/>
      <c r="E255" s="94"/>
      <c r="F255" s="93"/>
      <c r="G255" s="93"/>
      <c r="H255" s="93"/>
      <c r="I255" s="43" t="str">
        <f>IF(AND(A255&gt;=Dashboard!$B$2,A255&lt;EDATE(Dashboard!$B$2,1),D255&lt;&gt;""),E255,"")</f>
        <v/>
      </c>
      <c r="J255" s="43" t="str">
        <f t="shared" si="1"/>
        <v/>
      </c>
    </row>
    <row r="256" ht="15.75" customHeight="1">
      <c r="A256" s="99"/>
      <c r="B256" s="93"/>
      <c r="C256" s="93"/>
      <c r="D256" s="93"/>
      <c r="E256" s="94"/>
      <c r="F256" s="93"/>
      <c r="G256" s="93"/>
      <c r="H256" s="93"/>
      <c r="I256" s="43" t="str">
        <f>IF(AND(A256&gt;=Dashboard!$B$2,A256&lt;EDATE(Dashboard!$B$2,1),D256&lt;&gt;""),E256,"")</f>
        <v/>
      </c>
      <c r="J256" s="43" t="str">
        <f t="shared" si="1"/>
        <v/>
      </c>
    </row>
    <row r="257" ht="15.75" customHeight="1">
      <c r="A257" s="99"/>
      <c r="B257" s="93"/>
      <c r="C257" s="93"/>
      <c r="D257" s="93"/>
      <c r="E257" s="94"/>
      <c r="F257" s="93"/>
      <c r="G257" s="93"/>
      <c r="H257" s="93"/>
      <c r="I257" s="43" t="str">
        <f>IF(AND(A257&gt;=Dashboard!$B$2,A257&lt;EDATE(Dashboard!$B$2,1),D257&lt;&gt;""),E257,"")</f>
        <v/>
      </c>
      <c r="J257" s="43" t="str">
        <f t="shared" si="1"/>
        <v/>
      </c>
    </row>
    <row r="258" ht="15.75" customHeight="1">
      <c r="A258" s="99"/>
      <c r="B258" s="93"/>
      <c r="C258" s="93"/>
      <c r="D258" s="93"/>
      <c r="E258" s="94"/>
      <c r="F258" s="93"/>
      <c r="G258" s="93"/>
      <c r="H258" s="93"/>
      <c r="I258" s="43" t="str">
        <f>IF(AND(A258&gt;=Dashboard!$B$2,A258&lt;EDATE(Dashboard!$B$2,1),D258&lt;&gt;""),E258,"")</f>
        <v/>
      </c>
      <c r="J258" s="43" t="str">
        <f t="shared" si="1"/>
        <v/>
      </c>
    </row>
    <row r="259" ht="15.75" customHeight="1">
      <c r="A259" s="99"/>
      <c r="B259" s="93"/>
      <c r="C259" s="93"/>
      <c r="D259" s="93"/>
      <c r="E259" s="94"/>
      <c r="F259" s="93"/>
      <c r="G259" s="93"/>
      <c r="H259" s="93"/>
      <c r="I259" s="43" t="str">
        <f>IF(AND(A259&gt;=Dashboard!$B$2,A259&lt;EDATE(Dashboard!$B$2,1),D259&lt;&gt;""),E259,"")</f>
        <v/>
      </c>
      <c r="J259" s="43" t="str">
        <f t="shared" si="1"/>
        <v/>
      </c>
    </row>
    <row r="260" ht="15.75" customHeight="1">
      <c r="A260" s="99"/>
      <c r="B260" s="93"/>
      <c r="C260" s="93"/>
      <c r="D260" s="93"/>
      <c r="E260" s="94"/>
      <c r="F260" s="93"/>
      <c r="G260" s="93"/>
      <c r="H260" s="93"/>
      <c r="I260" s="43" t="str">
        <f>IF(AND(A260&gt;=Dashboard!$B$2,A260&lt;EDATE(Dashboard!$B$2,1),D260&lt;&gt;""),E260,"")</f>
        <v/>
      </c>
      <c r="J260" s="43" t="str">
        <f t="shared" si="1"/>
        <v/>
      </c>
    </row>
    <row r="261" ht="15.75" customHeight="1">
      <c r="A261" s="99"/>
      <c r="B261" s="93"/>
      <c r="C261" s="93"/>
      <c r="D261" s="93"/>
      <c r="E261" s="94"/>
      <c r="F261" s="93"/>
      <c r="G261" s="93"/>
      <c r="H261" s="93"/>
      <c r="I261" s="43" t="str">
        <f>IF(AND(A261&gt;=Dashboard!$B$2,A261&lt;EDATE(Dashboard!$B$2,1),D261&lt;&gt;""),E261,"")</f>
        <v/>
      </c>
      <c r="J261" s="43" t="str">
        <f t="shared" si="1"/>
        <v/>
      </c>
    </row>
    <row r="262" ht="15.75" customHeight="1">
      <c r="A262" s="99"/>
      <c r="B262" s="93"/>
      <c r="C262" s="93"/>
      <c r="D262" s="93"/>
      <c r="E262" s="94"/>
      <c r="F262" s="93"/>
      <c r="G262" s="93"/>
      <c r="H262" s="93"/>
      <c r="I262" s="43" t="str">
        <f>IF(AND(A262&gt;=Dashboard!$B$2,A262&lt;EDATE(Dashboard!$B$2,1),D262&lt;&gt;""),E262,"")</f>
        <v/>
      </c>
      <c r="J262" s="43" t="str">
        <f t="shared" si="1"/>
        <v/>
      </c>
    </row>
    <row r="263" ht="15.75" customHeight="1">
      <c r="A263" s="99"/>
      <c r="B263" s="93"/>
      <c r="C263" s="93"/>
      <c r="D263" s="93"/>
      <c r="E263" s="94"/>
      <c r="F263" s="93"/>
      <c r="G263" s="93"/>
      <c r="H263" s="93"/>
      <c r="I263" s="43" t="str">
        <f>IF(AND(A263&gt;=Dashboard!$B$2,A263&lt;EDATE(Dashboard!$B$2,1),D263&lt;&gt;""),E263,"")</f>
        <v/>
      </c>
      <c r="J263" s="43" t="str">
        <f t="shared" si="1"/>
        <v/>
      </c>
    </row>
    <row r="264" ht="15.75" customHeight="1">
      <c r="A264" s="99"/>
      <c r="B264" s="93"/>
      <c r="C264" s="93"/>
      <c r="D264" s="93"/>
      <c r="E264" s="94"/>
      <c r="F264" s="93"/>
      <c r="G264" s="93"/>
      <c r="H264" s="93"/>
      <c r="I264" s="43" t="str">
        <f>IF(AND(A264&gt;=Dashboard!$B$2,A264&lt;EDATE(Dashboard!$B$2,1),D264&lt;&gt;""),E264,"")</f>
        <v/>
      </c>
      <c r="J264" s="43" t="str">
        <f t="shared" si="1"/>
        <v/>
      </c>
    </row>
    <row r="265" ht="15.75" customHeight="1">
      <c r="A265" s="99"/>
      <c r="B265" s="93"/>
      <c r="C265" s="93"/>
      <c r="D265" s="93"/>
      <c r="E265" s="94"/>
      <c r="F265" s="93"/>
      <c r="G265" s="93"/>
      <c r="H265" s="93"/>
      <c r="I265" s="43" t="str">
        <f>IF(AND(A265&gt;=Dashboard!$B$2,A265&lt;EDATE(Dashboard!$B$2,1),D265&lt;&gt;""),E265,"")</f>
        <v/>
      </c>
      <c r="J265" s="43" t="str">
        <f t="shared" si="1"/>
        <v/>
      </c>
    </row>
    <row r="266" ht="15.75" customHeight="1">
      <c r="A266" s="99"/>
      <c r="B266" s="93"/>
      <c r="C266" s="93"/>
      <c r="D266" s="93"/>
      <c r="E266" s="94"/>
      <c r="F266" s="93"/>
      <c r="G266" s="93"/>
      <c r="H266" s="93"/>
      <c r="I266" s="43" t="str">
        <f>IF(AND(A266&gt;=Dashboard!$B$2,A266&lt;EDATE(Dashboard!$B$2,1),D266&lt;&gt;""),E266,"")</f>
        <v/>
      </c>
      <c r="J266" s="43" t="str">
        <f t="shared" si="1"/>
        <v/>
      </c>
    </row>
    <row r="267" ht="15.75" customHeight="1">
      <c r="A267" s="99"/>
      <c r="B267" s="93"/>
      <c r="C267" s="93"/>
      <c r="D267" s="93"/>
      <c r="E267" s="94"/>
      <c r="F267" s="93"/>
      <c r="G267" s="93"/>
      <c r="H267" s="93"/>
      <c r="I267" s="43" t="str">
        <f>IF(AND(A267&gt;=Dashboard!$B$2,A267&lt;EDATE(Dashboard!$B$2,1),D267&lt;&gt;""),E267,"")</f>
        <v/>
      </c>
      <c r="J267" s="43" t="str">
        <f t="shared" si="1"/>
        <v/>
      </c>
    </row>
    <row r="268" ht="15.75" customHeight="1">
      <c r="A268" s="99"/>
      <c r="B268" s="93"/>
      <c r="C268" s="93"/>
      <c r="D268" s="93"/>
      <c r="E268" s="94"/>
      <c r="F268" s="93"/>
      <c r="G268" s="93"/>
      <c r="H268" s="93"/>
      <c r="I268" s="43" t="str">
        <f>IF(AND(A268&gt;=Dashboard!$B$2,A268&lt;EDATE(Dashboard!$B$2,1),D268&lt;&gt;""),E268,"")</f>
        <v/>
      </c>
      <c r="J268" s="43" t="str">
        <f t="shared" si="1"/>
        <v/>
      </c>
    </row>
    <row r="269" ht="15.75" customHeight="1">
      <c r="A269" s="99"/>
      <c r="B269" s="93"/>
      <c r="C269" s="93"/>
      <c r="D269" s="93"/>
      <c r="E269" s="94"/>
      <c r="F269" s="93"/>
      <c r="G269" s="93"/>
      <c r="H269" s="93"/>
      <c r="I269" s="43" t="str">
        <f>IF(AND(A269&gt;=Dashboard!$B$2,A269&lt;EDATE(Dashboard!$B$2,1),D269&lt;&gt;""),E269,"")</f>
        <v/>
      </c>
      <c r="J269" s="43" t="str">
        <f t="shared" si="1"/>
        <v/>
      </c>
    </row>
    <row r="270" ht="15.75" customHeight="1">
      <c r="A270" s="99"/>
      <c r="B270" s="93"/>
      <c r="C270" s="93"/>
      <c r="D270" s="93"/>
      <c r="E270" s="94"/>
      <c r="F270" s="93"/>
      <c r="G270" s="93"/>
      <c r="H270" s="93"/>
      <c r="I270" s="43" t="str">
        <f>IF(AND(A270&gt;=Dashboard!$B$2,A270&lt;EDATE(Dashboard!$B$2,1),D270&lt;&gt;""),E270,"")</f>
        <v/>
      </c>
      <c r="J270" s="43" t="str">
        <f t="shared" si="1"/>
        <v/>
      </c>
    </row>
    <row r="271" ht="15.75" customHeight="1">
      <c r="A271" s="99"/>
      <c r="B271" s="93"/>
      <c r="C271" s="93"/>
      <c r="D271" s="93"/>
      <c r="E271" s="94"/>
      <c r="F271" s="93"/>
      <c r="G271" s="93"/>
      <c r="H271" s="93"/>
      <c r="I271" s="43" t="str">
        <f>IF(AND(A271&gt;=Dashboard!$B$2,A271&lt;EDATE(Dashboard!$B$2,1),D271&lt;&gt;""),E271,"")</f>
        <v/>
      </c>
      <c r="J271" s="43" t="str">
        <f t="shared" si="1"/>
        <v/>
      </c>
    </row>
    <row r="272" ht="15.75" customHeight="1">
      <c r="A272" s="99"/>
      <c r="B272" s="93"/>
      <c r="C272" s="93"/>
      <c r="D272" s="93"/>
      <c r="E272" s="94"/>
      <c r="F272" s="93"/>
      <c r="G272" s="93"/>
      <c r="H272" s="93"/>
      <c r="I272" s="43" t="str">
        <f>IF(AND(A272&gt;=Dashboard!$B$2,A272&lt;EDATE(Dashboard!$B$2,1),D272&lt;&gt;""),E272,"")</f>
        <v/>
      </c>
      <c r="J272" s="43" t="str">
        <f t="shared" si="1"/>
        <v/>
      </c>
    </row>
    <row r="273" ht="15.75" customHeight="1">
      <c r="A273" s="99"/>
      <c r="B273" s="93"/>
      <c r="C273" s="93"/>
      <c r="D273" s="93"/>
      <c r="E273" s="94"/>
      <c r="F273" s="93"/>
      <c r="G273" s="93"/>
      <c r="H273" s="93"/>
      <c r="I273" s="43" t="str">
        <f>IF(AND(A273&gt;=Dashboard!$B$2,A273&lt;EDATE(Dashboard!$B$2,1),D273&lt;&gt;""),E273,"")</f>
        <v/>
      </c>
      <c r="J273" s="43" t="str">
        <f t="shared" si="1"/>
        <v/>
      </c>
    </row>
    <row r="274" ht="15.75" customHeight="1">
      <c r="A274" s="99"/>
      <c r="B274" s="93"/>
      <c r="C274" s="93"/>
      <c r="D274" s="93"/>
      <c r="E274" s="94"/>
      <c r="F274" s="93"/>
      <c r="G274" s="93"/>
      <c r="H274" s="93"/>
      <c r="I274" s="43" t="str">
        <f>IF(AND(A274&gt;=Dashboard!$B$2,A274&lt;EDATE(Dashboard!$B$2,1),D274&lt;&gt;""),E274,"")</f>
        <v/>
      </c>
      <c r="J274" s="43" t="str">
        <f t="shared" si="1"/>
        <v/>
      </c>
    </row>
    <row r="275" ht="15.75" customHeight="1">
      <c r="A275" s="99"/>
      <c r="B275" s="93"/>
      <c r="C275" s="93"/>
      <c r="D275" s="93"/>
      <c r="E275" s="94"/>
      <c r="F275" s="93"/>
      <c r="G275" s="93"/>
      <c r="H275" s="93"/>
      <c r="I275" s="43" t="str">
        <f>IF(AND(A275&gt;=Dashboard!$B$2,A275&lt;EDATE(Dashboard!$B$2,1),D275&lt;&gt;""),E275,"")</f>
        <v/>
      </c>
      <c r="J275" s="43" t="str">
        <f t="shared" si="1"/>
        <v/>
      </c>
    </row>
    <row r="276" ht="15.75" customHeight="1">
      <c r="A276" s="99"/>
      <c r="B276" s="93"/>
      <c r="C276" s="93"/>
      <c r="D276" s="93"/>
      <c r="E276" s="94"/>
      <c r="F276" s="93"/>
      <c r="G276" s="93"/>
      <c r="H276" s="93"/>
      <c r="I276" s="43" t="str">
        <f>IF(AND(A276&gt;=Dashboard!$B$2,A276&lt;EDATE(Dashboard!$B$2,1),D276&lt;&gt;""),E276,"")</f>
        <v/>
      </c>
      <c r="J276" s="43" t="str">
        <f t="shared" si="1"/>
        <v/>
      </c>
    </row>
    <row r="277" ht="15.75" customHeight="1">
      <c r="A277" s="99"/>
      <c r="B277" s="93"/>
      <c r="C277" s="93"/>
      <c r="D277" s="93"/>
      <c r="E277" s="94"/>
      <c r="F277" s="93"/>
      <c r="G277" s="93"/>
      <c r="H277" s="93"/>
      <c r="I277" s="43" t="str">
        <f>IF(AND(A277&gt;=Dashboard!$B$2,A277&lt;EDATE(Dashboard!$B$2,1),D277&lt;&gt;""),E277,"")</f>
        <v/>
      </c>
      <c r="J277" s="43" t="str">
        <f t="shared" si="1"/>
        <v/>
      </c>
    </row>
    <row r="278" ht="15.75" customHeight="1">
      <c r="A278" s="99"/>
      <c r="B278" s="93"/>
      <c r="C278" s="93"/>
      <c r="D278" s="93"/>
      <c r="E278" s="94"/>
      <c r="F278" s="93"/>
      <c r="G278" s="93"/>
      <c r="H278" s="93"/>
      <c r="I278" s="43" t="str">
        <f>IF(AND(A278&gt;=Dashboard!$B$2,A278&lt;EDATE(Dashboard!$B$2,1),D278&lt;&gt;""),E278,"")</f>
        <v/>
      </c>
      <c r="J278" s="43" t="str">
        <f t="shared" si="1"/>
        <v/>
      </c>
    </row>
    <row r="279" ht="15.75" customHeight="1">
      <c r="A279" s="99"/>
      <c r="B279" s="93"/>
      <c r="C279" s="93"/>
      <c r="D279" s="93"/>
      <c r="E279" s="94"/>
      <c r="F279" s="93"/>
      <c r="G279" s="93"/>
      <c r="H279" s="93"/>
      <c r="I279" s="43" t="str">
        <f>IF(AND(A279&gt;=Dashboard!$B$2,A279&lt;EDATE(Dashboard!$B$2,1),D279&lt;&gt;""),E279,"")</f>
        <v/>
      </c>
      <c r="J279" s="43" t="str">
        <f t="shared" si="1"/>
        <v/>
      </c>
    </row>
    <row r="280" ht="15.75" customHeight="1">
      <c r="A280" s="99"/>
      <c r="B280" s="93"/>
      <c r="C280" s="93"/>
      <c r="D280" s="93"/>
      <c r="E280" s="94"/>
      <c r="F280" s="93"/>
      <c r="G280" s="93"/>
      <c r="H280" s="93"/>
      <c r="I280" s="43" t="str">
        <f>IF(AND(A280&gt;=Dashboard!$B$2,A280&lt;EDATE(Dashboard!$B$2,1),D280&lt;&gt;""),E280,"")</f>
        <v/>
      </c>
      <c r="J280" s="43" t="str">
        <f t="shared" si="1"/>
        <v/>
      </c>
    </row>
    <row r="281" ht="15.75" customHeight="1">
      <c r="A281" s="99"/>
      <c r="B281" s="93"/>
      <c r="C281" s="93"/>
      <c r="D281" s="93"/>
      <c r="E281" s="94"/>
      <c r="F281" s="93"/>
      <c r="G281" s="93"/>
      <c r="H281" s="93"/>
      <c r="I281" s="43" t="str">
        <f>IF(AND(A281&gt;=Dashboard!$B$2,A281&lt;EDATE(Dashboard!$B$2,1),D281&lt;&gt;""),E281,"")</f>
        <v/>
      </c>
      <c r="J281" s="43" t="str">
        <f t="shared" si="1"/>
        <v/>
      </c>
    </row>
    <row r="282" ht="15.75" customHeight="1">
      <c r="A282" s="99"/>
      <c r="B282" s="93"/>
      <c r="C282" s="93"/>
      <c r="D282" s="93"/>
      <c r="E282" s="94"/>
      <c r="F282" s="93"/>
      <c r="G282" s="93"/>
      <c r="H282" s="93"/>
      <c r="I282" s="43" t="str">
        <f>IF(AND(A282&gt;=Dashboard!$B$2,A282&lt;EDATE(Dashboard!$B$2,1),D282&lt;&gt;""),E282,"")</f>
        <v/>
      </c>
      <c r="J282" s="43" t="str">
        <f t="shared" si="1"/>
        <v/>
      </c>
    </row>
    <row r="283" ht="15.75" customHeight="1">
      <c r="A283" s="99"/>
      <c r="B283" s="93"/>
      <c r="C283" s="93"/>
      <c r="D283" s="93"/>
      <c r="E283" s="94"/>
      <c r="F283" s="93"/>
      <c r="G283" s="93"/>
      <c r="H283" s="93"/>
      <c r="I283" s="43" t="str">
        <f>IF(AND(A283&gt;=Dashboard!$B$2,A283&lt;EDATE(Dashboard!$B$2,1),D283&lt;&gt;""),E283,"")</f>
        <v/>
      </c>
      <c r="J283" s="43" t="str">
        <f t="shared" si="1"/>
        <v/>
      </c>
    </row>
    <row r="284" ht="15.75" customHeight="1">
      <c r="A284" s="99"/>
      <c r="B284" s="93"/>
      <c r="C284" s="93"/>
      <c r="D284" s="93"/>
      <c r="E284" s="94"/>
      <c r="F284" s="93"/>
      <c r="G284" s="93"/>
      <c r="H284" s="93"/>
      <c r="I284" s="43" t="str">
        <f>IF(AND(A284&gt;=Dashboard!$B$2,A284&lt;EDATE(Dashboard!$B$2,1),D284&lt;&gt;""),E284,"")</f>
        <v/>
      </c>
      <c r="J284" s="43" t="str">
        <f t="shared" si="1"/>
        <v/>
      </c>
    </row>
    <row r="285" ht="15.75" customHeight="1">
      <c r="A285" s="99"/>
      <c r="B285" s="93"/>
      <c r="C285" s="93"/>
      <c r="D285" s="93"/>
      <c r="E285" s="94"/>
      <c r="F285" s="93"/>
      <c r="G285" s="93"/>
      <c r="H285" s="93"/>
      <c r="I285" s="43" t="str">
        <f>IF(AND(A285&gt;=Dashboard!$B$2,A285&lt;EDATE(Dashboard!$B$2,1),D285&lt;&gt;""),E285,"")</f>
        <v/>
      </c>
      <c r="J285" s="43" t="str">
        <f t="shared" si="1"/>
        <v/>
      </c>
    </row>
    <row r="286" ht="15.75" customHeight="1">
      <c r="A286" s="99"/>
      <c r="B286" s="93"/>
      <c r="C286" s="93"/>
      <c r="D286" s="93"/>
      <c r="E286" s="94"/>
      <c r="F286" s="93"/>
      <c r="G286" s="93"/>
      <c r="H286" s="93"/>
      <c r="I286" s="43" t="str">
        <f>IF(AND(A286&gt;=Dashboard!$B$2,A286&lt;EDATE(Dashboard!$B$2,1),D286&lt;&gt;""),E286,"")</f>
        <v/>
      </c>
      <c r="J286" s="43" t="str">
        <f t="shared" si="1"/>
        <v/>
      </c>
    </row>
    <row r="287" ht="15.75" customHeight="1">
      <c r="A287" s="99"/>
      <c r="B287" s="93"/>
      <c r="C287" s="93"/>
      <c r="D287" s="93"/>
      <c r="E287" s="94"/>
      <c r="F287" s="93"/>
      <c r="G287" s="93"/>
      <c r="H287" s="93"/>
      <c r="I287" s="43" t="str">
        <f>IF(AND(A287&gt;=Dashboard!$B$2,A287&lt;EDATE(Dashboard!$B$2,1),D287&lt;&gt;""),E287,"")</f>
        <v/>
      </c>
      <c r="J287" s="43" t="str">
        <f t="shared" si="1"/>
        <v/>
      </c>
    </row>
    <row r="288" ht="15.75" customHeight="1">
      <c r="A288" s="99"/>
      <c r="B288" s="93"/>
      <c r="C288" s="93"/>
      <c r="D288" s="93"/>
      <c r="E288" s="94"/>
      <c r="F288" s="93"/>
      <c r="G288" s="93"/>
      <c r="H288" s="93"/>
      <c r="I288" s="43" t="str">
        <f>IF(AND(A288&gt;=Dashboard!$B$2,A288&lt;EDATE(Dashboard!$B$2,1),D288&lt;&gt;""),E288,"")</f>
        <v/>
      </c>
      <c r="J288" s="43" t="str">
        <f t="shared" si="1"/>
        <v/>
      </c>
    </row>
    <row r="289" ht="15.75" customHeight="1">
      <c r="A289" s="99"/>
      <c r="B289" s="93"/>
      <c r="C289" s="93"/>
      <c r="D289" s="93"/>
      <c r="E289" s="94"/>
      <c r="F289" s="93"/>
      <c r="G289" s="93"/>
      <c r="H289" s="93"/>
      <c r="I289" s="43" t="str">
        <f>IF(AND(A289&gt;=Dashboard!$B$2,A289&lt;EDATE(Dashboard!$B$2,1),D289&lt;&gt;""),E289,"")</f>
        <v/>
      </c>
      <c r="J289" s="43" t="str">
        <f t="shared" si="1"/>
        <v/>
      </c>
    </row>
    <row r="290" ht="15.75" customHeight="1">
      <c r="A290" s="99"/>
      <c r="B290" s="93"/>
      <c r="C290" s="93"/>
      <c r="D290" s="93"/>
      <c r="E290" s="94"/>
      <c r="F290" s="93"/>
      <c r="G290" s="93"/>
      <c r="H290" s="93"/>
      <c r="I290" s="43" t="str">
        <f>IF(AND(A290&gt;=Dashboard!$B$2,A290&lt;EDATE(Dashboard!$B$2,1),D290&lt;&gt;""),E290,"")</f>
        <v/>
      </c>
      <c r="J290" s="43" t="str">
        <f t="shared" si="1"/>
        <v/>
      </c>
    </row>
    <row r="291" ht="15.75" customHeight="1">
      <c r="A291" s="99"/>
      <c r="B291" s="93"/>
      <c r="C291" s="93"/>
      <c r="D291" s="93"/>
      <c r="E291" s="94"/>
      <c r="F291" s="93"/>
      <c r="G291" s="93"/>
      <c r="H291" s="93"/>
      <c r="I291" s="43" t="str">
        <f>IF(AND(A291&gt;=Dashboard!$B$2,A291&lt;EDATE(Dashboard!$B$2,1),D291&lt;&gt;""),E291,"")</f>
        <v/>
      </c>
      <c r="J291" s="43" t="str">
        <f t="shared" si="1"/>
        <v/>
      </c>
    </row>
    <row r="292" ht="15.75" customHeight="1">
      <c r="A292" s="99"/>
      <c r="B292" s="93"/>
      <c r="C292" s="93"/>
      <c r="D292" s="93"/>
      <c r="E292" s="94"/>
      <c r="F292" s="93"/>
      <c r="G292" s="93"/>
      <c r="H292" s="93"/>
      <c r="I292" s="43" t="str">
        <f>IF(AND(A292&gt;=Dashboard!$B$2,A292&lt;EDATE(Dashboard!$B$2,1),D292&lt;&gt;""),E292,"")</f>
        <v/>
      </c>
      <c r="J292" s="43" t="str">
        <f t="shared" si="1"/>
        <v/>
      </c>
    </row>
    <row r="293" ht="15.75" customHeight="1">
      <c r="A293" s="99"/>
      <c r="B293" s="93"/>
      <c r="C293" s="93"/>
      <c r="D293" s="93"/>
      <c r="E293" s="94"/>
      <c r="F293" s="93"/>
      <c r="G293" s="93"/>
      <c r="H293" s="93"/>
      <c r="I293" s="43" t="str">
        <f>IF(AND(A293&gt;=Dashboard!$B$2,A293&lt;EDATE(Dashboard!$B$2,1),D293&lt;&gt;""),E293,"")</f>
        <v/>
      </c>
      <c r="J293" s="43" t="str">
        <f t="shared" si="1"/>
        <v/>
      </c>
    </row>
    <row r="294" ht="15.75" customHeight="1">
      <c r="A294" s="99"/>
      <c r="B294" s="93"/>
      <c r="C294" s="93"/>
      <c r="D294" s="93"/>
      <c r="E294" s="94"/>
      <c r="F294" s="93"/>
      <c r="G294" s="93"/>
      <c r="H294" s="93"/>
      <c r="I294" s="43" t="str">
        <f>IF(AND(A294&gt;=Dashboard!$B$2,A294&lt;EDATE(Dashboard!$B$2,1),D294&lt;&gt;""),E294,"")</f>
        <v/>
      </c>
      <c r="J294" s="43" t="str">
        <f t="shared" si="1"/>
        <v/>
      </c>
    </row>
    <row r="295" ht="15.75" customHeight="1">
      <c r="A295" s="99"/>
      <c r="B295" s="93"/>
      <c r="C295" s="93"/>
      <c r="D295" s="93"/>
      <c r="E295" s="94"/>
      <c r="F295" s="93"/>
      <c r="G295" s="93"/>
      <c r="H295" s="93"/>
      <c r="I295" s="43" t="str">
        <f>IF(AND(A295&gt;=Dashboard!$B$2,A295&lt;EDATE(Dashboard!$B$2,1),D295&lt;&gt;""),E295,"")</f>
        <v/>
      </c>
      <c r="J295" s="43" t="str">
        <f t="shared" si="1"/>
        <v/>
      </c>
    </row>
    <row r="296" ht="15.75" customHeight="1">
      <c r="A296" s="99"/>
      <c r="B296" s="93"/>
      <c r="C296" s="93"/>
      <c r="D296" s="93"/>
      <c r="E296" s="94"/>
      <c r="F296" s="93"/>
      <c r="G296" s="93"/>
      <c r="H296" s="93"/>
      <c r="I296" s="43" t="str">
        <f>IF(AND(A296&gt;=Dashboard!$B$2,A296&lt;EDATE(Dashboard!$B$2,1),D296&lt;&gt;""),E296,"")</f>
        <v/>
      </c>
      <c r="J296" s="43" t="str">
        <f t="shared" si="1"/>
        <v/>
      </c>
    </row>
    <row r="297" ht="15.75" customHeight="1">
      <c r="A297" s="99"/>
      <c r="B297" s="93"/>
      <c r="C297" s="93"/>
      <c r="D297" s="93"/>
      <c r="E297" s="94"/>
      <c r="F297" s="93"/>
      <c r="G297" s="93"/>
      <c r="H297" s="93"/>
      <c r="I297" s="43" t="str">
        <f>IF(AND(A297&gt;=Dashboard!$B$2,A297&lt;EDATE(Dashboard!$B$2,1),D297&lt;&gt;""),E297,"")</f>
        <v/>
      </c>
      <c r="J297" s="43" t="str">
        <f t="shared" si="1"/>
        <v/>
      </c>
    </row>
    <row r="298" ht="15.75" customHeight="1">
      <c r="A298" s="99"/>
      <c r="B298" s="93"/>
      <c r="C298" s="93"/>
      <c r="D298" s="93"/>
      <c r="E298" s="94"/>
      <c r="F298" s="93"/>
      <c r="G298" s="93"/>
      <c r="H298" s="93"/>
      <c r="I298" s="43" t="str">
        <f>IF(AND(A298&gt;=Dashboard!$B$2,A298&lt;EDATE(Dashboard!$B$2,1),D298&lt;&gt;""),E298,"")</f>
        <v/>
      </c>
      <c r="J298" s="43" t="str">
        <f t="shared" si="1"/>
        <v/>
      </c>
    </row>
    <row r="299" ht="15.75" customHeight="1">
      <c r="A299" s="99"/>
      <c r="B299" s="93"/>
      <c r="C299" s="93"/>
      <c r="D299" s="93"/>
      <c r="E299" s="94"/>
      <c r="F299" s="93"/>
      <c r="G299" s="93"/>
      <c r="H299" s="93"/>
      <c r="I299" s="43" t="str">
        <f>IF(AND(A299&gt;=Dashboard!$B$2,A299&lt;EDATE(Dashboard!$B$2,1),D299&lt;&gt;""),E299,"")</f>
        <v/>
      </c>
      <c r="J299" s="43" t="str">
        <f t="shared" si="1"/>
        <v/>
      </c>
    </row>
    <row r="300" ht="15.75" customHeight="1">
      <c r="A300" s="99"/>
      <c r="B300" s="93"/>
      <c r="C300" s="93"/>
      <c r="D300" s="93"/>
      <c r="E300" s="94"/>
      <c r="F300" s="93"/>
      <c r="G300" s="93"/>
      <c r="H300" s="93"/>
      <c r="I300" s="43" t="str">
        <f>IF(AND(A300&gt;=Dashboard!$B$2,A300&lt;EDATE(Dashboard!$B$2,1),D300&lt;&gt;""),E300,"")</f>
        <v/>
      </c>
      <c r="J300" s="43" t="str">
        <f t="shared" si="1"/>
        <v/>
      </c>
    </row>
    <row r="301" ht="15.75" customHeight="1">
      <c r="A301" s="99"/>
      <c r="B301" s="93"/>
      <c r="C301" s="93"/>
      <c r="D301" s="93"/>
      <c r="E301" s="94"/>
      <c r="F301" s="93"/>
      <c r="G301" s="93"/>
      <c r="H301" s="93"/>
      <c r="I301" s="43" t="str">
        <f>IF(AND(A301&gt;=Dashboard!$B$2,A301&lt;EDATE(Dashboard!$B$2,1),D301&lt;&gt;""),E301,"")</f>
        <v/>
      </c>
      <c r="J301" s="43" t="str">
        <f t="shared" si="1"/>
        <v/>
      </c>
    </row>
    <row r="302" ht="15.75" customHeight="1">
      <c r="A302" s="99"/>
      <c r="B302" s="93"/>
      <c r="C302" s="93"/>
      <c r="D302" s="93"/>
      <c r="E302" s="94"/>
      <c r="F302" s="93"/>
      <c r="G302" s="93"/>
      <c r="H302" s="93"/>
      <c r="I302" s="43" t="str">
        <f>IF(AND(A302&gt;=Dashboard!$B$2,A302&lt;EDATE(Dashboard!$B$2,1),D302&lt;&gt;""),E302,"")</f>
        <v/>
      </c>
      <c r="J302" s="43" t="str">
        <f t="shared" si="1"/>
        <v/>
      </c>
    </row>
    <row r="303" ht="15.75" customHeight="1">
      <c r="A303" s="99"/>
      <c r="B303" s="93"/>
      <c r="C303" s="93"/>
      <c r="D303" s="93"/>
      <c r="E303" s="94"/>
      <c r="F303" s="93"/>
      <c r="G303" s="93"/>
      <c r="H303" s="93"/>
      <c r="I303" s="43" t="str">
        <f>IF(AND(A303&gt;=Dashboard!$B$2,A303&lt;EDATE(Dashboard!$B$2,1),D303&lt;&gt;""),E303,"")</f>
        <v/>
      </c>
      <c r="J303" s="43" t="str">
        <f t="shared" si="1"/>
        <v/>
      </c>
    </row>
    <row r="304" ht="15.75" customHeight="1">
      <c r="A304" s="99"/>
      <c r="B304" s="93"/>
      <c r="C304" s="93"/>
      <c r="D304" s="93"/>
      <c r="E304" s="94"/>
      <c r="F304" s="93"/>
      <c r="G304" s="93"/>
      <c r="H304" s="93"/>
      <c r="I304" s="43" t="str">
        <f>IF(AND(A304&gt;=Dashboard!$B$2,A304&lt;EDATE(Dashboard!$B$2,1),D304&lt;&gt;""),E304,"")</f>
        <v/>
      </c>
      <c r="J304" s="43" t="str">
        <f t="shared" si="1"/>
        <v/>
      </c>
    </row>
    <row r="305" ht="15.75" customHeight="1">
      <c r="A305" s="99"/>
      <c r="B305" s="93"/>
      <c r="C305" s="93"/>
      <c r="D305" s="93"/>
      <c r="E305" s="94"/>
      <c r="F305" s="93"/>
      <c r="G305" s="93"/>
      <c r="H305" s="93"/>
      <c r="I305" s="43" t="str">
        <f>IF(AND(A305&gt;=Dashboard!$B$2,A305&lt;EDATE(Dashboard!$B$2,1),D305&lt;&gt;""),E305,"")</f>
        <v/>
      </c>
      <c r="J305" s="43" t="str">
        <f t="shared" si="1"/>
        <v/>
      </c>
    </row>
    <row r="306" ht="15.75" customHeight="1">
      <c r="A306" s="99"/>
      <c r="B306" s="93"/>
      <c r="C306" s="93"/>
      <c r="D306" s="93"/>
      <c r="E306" s="94"/>
      <c r="F306" s="93"/>
      <c r="G306" s="93"/>
      <c r="H306" s="93"/>
      <c r="I306" s="43" t="str">
        <f>IF(AND(A306&gt;=Dashboard!$B$2,A306&lt;EDATE(Dashboard!$B$2,1),D306&lt;&gt;""),E306,"")</f>
        <v/>
      </c>
      <c r="J306" s="43" t="str">
        <f t="shared" si="1"/>
        <v/>
      </c>
    </row>
    <row r="307" ht="15.75" customHeight="1">
      <c r="A307" s="99"/>
      <c r="B307" s="93"/>
      <c r="C307" s="93"/>
      <c r="D307" s="93"/>
      <c r="E307" s="94"/>
      <c r="F307" s="93"/>
      <c r="G307" s="93"/>
      <c r="H307" s="93"/>
      <c r="I307" s="43" t="str">
        <f>IF(AND(A307&gt;=Dashboard!$B$2,A307&lt;EDATE(Dashboard!$B$2,1),D307&lt;&gt;""),E307,"")</f>
        <v/>
      </c>
      <c r="J307" s="43" t="str">
        <f t="shared" si="1"/>
        <v/>
      </c>
    </row>
    <row r="308" ht="15.75" customHeight="1">
      <c r="A308" s="99"/>
      <c r="B308" s="93"/>
      <c r="C308" s="93"/>
      <c r="D308" s="93"/>
      <c r="E308" s="94"/>
      <c r="F308" s="93"/>
      <c r="G308" s="93"/>
      <c r="H308" s="93"/>
      <c r="I308" s="43" t="str">
        <f>IF(AND(A308&gt;=Dashboard!$B$2,A308&lt;EDATE(Dashboard!$B$2,1),D308&lt;&gt;""),E308,"")</f>
        <v/>
      </c>
      <c r="J308" s="43" t="str">
        <f t="shared" si="1"/>
        <v/>
      </c>
    </row>
    <row r="309" ht="15.75" customHeight="1">
      <c r="A309" s="99"/>
      <c r="B309" s="93"/>
      <c r="C309" s="93"/>
      <c r="D309" s="93"/>
      <c r="E309" s="94"/>
      <c r="F309" s="93"/>
      <c r="G309" s="93"/>
      <c r="H309" s="93"/>
      <c r="I309" s="43" t="str">
        <f>IF(AND(A309&gt;=Dashboard!$B$2,A309&lt;EDATE(Dashboard!$B$2,1),D309&lt;&gt;""),E309,"")</f>
        <v/>
      </c>
      <c r="J309" s="43" t="str">
        <f t="shared" si="1"/>
        <v/>
      </c>
    </row>
    <row r="310" ht="15.75" customHeight="1">
      <c r="A310" s="99"/>
      <c r="B310" s="93"/>
      <c r="C310" s="93"/>
      <c r="D310" s="93"/>
      <c r="E310" s="94"/>
      <c r="F310" s="93"/>
      <c r="G310" s="93"/>
      <c r="H310" s="93"/>
      <c r="I310" s="43" t="str">
        <f>IF(AND(A310&gt;=Dashboard!$B$2,A310&lt;EDATE(Dashboard!$B$2,1),D310&lt;&gt;""),E310,"")</f>
        <v/>
      </c>
      <c r="J310" s="43" t="str">
        <f t="shared" si="1"/>
        <v/>
      </c>
    </row>
    <row r="311" ht="15.75" customHeight="1">
      <c r="A311" s="99"/>
      <c r="B311" s="93"/>
      <c r="C311" s="93"/>
      <c r="D311" s="93"/>
      <c r="E311" s="94"/>
      <c r="F311" s="93"/>
      <c r="G311" s="93"/>
      <c r="H311" s="93"/>
      <c r="I311" s="43" t="str">
        <f>IF(AND(A311&gt;=Dashboard!$B$2,A311&lt;EDATE(Dashboard!$B$2,1),D311&lt;&gt;""),E311,"")</f>
        <v/>
      </c>
      <c r="J311" s="43" t="str">
        <f t="shared" si="1"/>
        <v/>
      </c>
    </row>
    <row r="312" ht="15.75" customHeight="1">
      <c r="A312" s="99"/>
      <c r="B312" s="93"/>
      <c r="C312" s="93"/>
      <c r="D312" s="93"/>
      <c r="E312" s="94"/>
      <c r="F312" s="93"/>
      <c r="G312" s="93"/>
      <c r="H312" s="93"/>
      <c r="I312" s="43" t="str">
        <f>IF(AND(A312&gt;=Dashboard!$B$2,A312&lt;EDATE(Dashboard!$B$2,1),D312&lt;&gt;""),E312,"")</f>
        <v/>
      </c>
      <c r="J312" s="43" t="str">
        <f t="shared" si="1"/>
        <v/>
      </c>
    </row>
    <row r="313" ht="15.75" customHeight="1">
      <c r="A313" s="99"/>
      <c r="B313" s="93"/>
      <c r="C313" s="93"/>
      <c r="D313" s="93"/>
      <c r="E313" s="94"/>
      <c r="F313" s="93"/>
      <c r="G313" s="93"/>
      <c r="H313" s="93"/>
      <c r="I313" s="43" t="str">
        <f>IF(AND(A313&gt;=Dashboard!$B$2,A313&lt;EDATE(Dashboard!$B$2,1),D313&lt;&gt;""),E313,"")</f>
        <v/>
      </c>
      <c r="J313" s="43" t="str">
        <f t="shared" si="1"/>
        <v/>
      </c>
    </row>
    <row r="314" ht="15.75" customHeight="1">
      <c r="A314" s="99"/>
      <c r="B314" s="93"/>
      <c r="C314" s="93"/>
      <c r="D314" s="93"/>
      <c r="E314" s="94"/>
      <c r="F314" s="93"/>
      <c r="G314" s="93"/>
      <c r="H314" s="93"/>
      <c r="I314" s="43" t="str">
        <f>IF(AND(A314&gt;=Dashboard!$B$2,A314&lt;EDATE(Dashboard!$B$2,1),D314&lt;&gt;""),E314,"")</f>
        <v/>
      </c>
      <c r="J314" s="43" t="str">
        <f t="shared" si="1"/>
        <v/>
      </c>
    </row>
    <row r="315" ht="15.75" customHeight="1">
      <c r="A315" s="99"/>
      <c r="B315" s="93"/>
      <c r="C315" s="93"/>
      <c r="D315" s="93"/>
      <c r="E315" s="94"/>
      <c r="F315" s="93"/>
      <c r="G315" s="93"/>
      <c r="H315" s="93"/>
      <c r="I315" s="43" t="str">
        <f>IF(AND(A315&gt;=Dashboard!$B$2,A315&lt;EDATE(Dashboard!$B$2,1),D315&lt;&gt;""),E315,"")</f>
        <v/>
      </c>
      <c r="J315" s="43" t="str">
        <f t="shared" si="1"/>
        <v/>
      </c>
    </row>
    <row r="316" ht="15.75" customHeight="1">
      <c r="A316" s="99"/>
      <c r="B316" s="93"/>
      <c r="C316" s="93"/>
      <c r="D316" s="93"/>
      <c r="E316" s="94"/>
      <c r="F316" s="93"/>
      <c r="G316" s="93"/>
      <c r="H316" s="93"/>
      <c r="I316" s="43" t="str">
        <f>IF(AND(A316&gt;=Dashboard!$B$2,A316&lt;EDATE(Dashboard!$B$2,1),D316&lt;&gt;""),E316,"")</f>
        <v/>
      </c>
      <c r="J316" s="43" t="str">
        <f t="shared" si="1"/>
        <v/>
      </c>
    </row>
    <row r="317" ht="15.75" customHeight="1">
      <c r="A317" s="99"/>
      <c r="B317" s="93"/>
      <c r="C317" s="93"/>
      <c r="D317" s="93"/>
      <c r="E317" s="94"/>
      <c r="F317" s="93"/>
      <c r="G317" s="93"/>
      <c r="H317" s="93"/>
      <c r="I317" s="43" t="str">
        <f>IF(AND(A317&gt;=Dashboard!$B$2,A317&lt;EDATE(Dashboard!$B$2,1),D317&lt;&gt;""),E317,"")</f>
        <v/>
      </c>
      <c r="J317" s="43" t="str">
        <f t="shared" si="1"/>
        <v/>
      </c>
    </row>
    <row r="318" ht="15.75" customHeight="1">
      <c r="A318" s="99"/>
      <c r="B318" s="93"/>
      <c r="C318" s="93"/>
      <c r="D318" s="93"/>
      <c r="E318" s="94"/>
      <c r="F318" s="93"/>
      <c r="G318" s="93"/>
      <c r="H318" s="93"/>
      <c r="I318" s="43" t="str">
        <f>IF(AND(A318&gt;=Dashboard!$B$2,A318&lt;EDATE(Dashboard!$B$2,1),D318&lt;&gt;""),E318,"")</f>
        <v/>
      </c>
      <c r="J318" s="43" t="str">
        <f t="shared" si="1"/>
        <v/>
      </c>
    </row>
    <row r="319" ht="15.75" customHeight="1">
      <c r="A319" s="99"/>
      <c r="B319" s="93"/>
      <c r="C319" s="93"/>
      <c r="D319" s="93"/>
      <c r="E319" s="94"/>
      <c r="F319" s="93"/>
      <c r="G319" s="93"/>
      <c r="H319" s="93"/>
      <c r="I319" s="43" t="str">
        <f>IF(AND(A319&gt;=Dashboard!$B$2,A319&lt;EDATE(Dashboard!$B$2,1),D319&lt;&gt;""),E319,"")</f>
        <v/>
      </c>
      <c r="J319" s="43" t="str">
        <f t="shared" si="1"/>
        <v/>
      </c>
    </row>
    <row r="320" ht="15.75" customHeight="1">
      <c r="A320" s="99"/>
      <c r="B320" s="93"/>
      <c r="C320" s="93"/>
      <c r="D320" s="93"/>
      <c r="E320" s="94"/>
      <c r="F320" s="93"/>
      <c r="G320" s="93"/>
      <c r="H320" s="93"/>
      <c r="I320" s="43" t="str">
        <f>IF(AND(A320&gt;=Dashboard!$B$2,A320&lt;EDATE(Dashboard!$B$2,1),D320&lt;&gt;""),E320,"")</f>
        <v/>
      </c>
      <c r="J320" s="43" t="str">
        <f t="shared" si="1"/>
        <v/>
      </c>
    </row>
    <row r="321" ht="15.75" customHeight="1">
      <c r="A321" s="99"/>
      <c r="B321" s="93"/>
      <c r="C321" s="93"/>
      <c r="D321" s="93"/>
      <c r="E321" s="94"/>
      <c r="F321" s="93"/>
      <c r="G321" s="93"/>
      <c r="H321" s="93"/>
      <c r="I321" s="43" t="str">
        <f>IF(AND(A321&gt;=Dashboard!$B$2,A321&lt;EDATE(Dashboard!$B$2,1),D321&lt;&gt;""),E321,"")</f>
        <v/>
      </c>
      <c r="J321" s="43" t="str">
        <f t="shared" si="1"/>
        <v/>
      </c>
    </row>
    <row r="322" ht="15.75" customHeight="1">
      <c r="A322" s="99"/>
      <c r="B322" s="93"/>
      <c r="C322" s="93"/>
      <c r="D322" s="93"/>
      <c r="E322" s="94"/>
      <c r="F322" s="93"/>
      <c r="G322" s="93"/>
      <c r="H322" s="93"/>
      <c r="I322" s="43" t="str">
        <f>IF(AND(A322&gt;=Dashboard!$B$2,A322&lt;EDATE(Dashboard!$B$2,1),D322&lt;&gt;""),E322,"")</f>
        <v/>
      </c>
      <c r="J322" s="43" t="str">
        <f t="shared" si="1"/>
        <v/>
      </c>
    </row>
    <row r="323" ht="15.75" customHeight="1">
      <c r="A323" s="99"/>
      <c r="B323" s="93"/>
      <c r="C323" s="93"/>
      <c r="D323" s="93"/>
      <c r="E323" s="94"/>
      <c r="F323" s="93"/>
      <c r="G323" s="93"/>
      <c r="H323" s="93"/>
      <c r="I323" s="43" t="str">
        <f>IF(AND(A323&gt;=Dashboard!$B$2,A323&lt;EDATE(Dashboard!$B$2,1),D323&lt;&gt;""),E323,"")</f>
        <v/>
      </c>
      <c r="J323" s="43" t="str">
        <f t="shared" si="1"/>
        <v/>
      </c>
    </row>
    <row r="324" ht="15.75" customHeight="1">
      <c r="A324" s="99"/>
      <c r="B324" s="93"/>
      <c r="C324" s="93"/>
      <c r="D324" s="93"/>
      <c r="E324" s="94"/>
      <c r="F324" s="93"/>
      <c r="G324" s="93"/>
      <c r="H324" s="93"/>
      <c r="I324" s="43" t="str">
        <f>IF(AND(A324&gt;=Dashboard!$B$2,A324&lt;EDATE(Dashboard!$B$2,1),D324&lt;&gt;""),E324,"")</f>
        <v/>
      </c>
      <c r="J324" s="43" t="str">
        <f t="shared" si="1"/>
        <v/>
      </c>
    </row>
    <row r="325" ht="15.75" customHeight="1">
      <c r="A325" s="99"/>
      <c r="B325" s="93"/>
      <c r="C325" s="93"/>
      <c r="D325" s="93"/>
      <c r="E325" s="94"/>
      <c r="F325" s="93"/>
      <c r="G325" s="93"/>
      <c r="H325" s="93"/>
      <c r="I325" s="43" t="str">
        <f>IF(AND(A325&gt;=Dashboard!$B$2,A325&lt;EDATE(Dashboard!$B$2,1),D325&lt;&gt;""),E325,"")</f>
        <v/>
      </c>
      <c r="J325" s="43" t="str">
        <f t="shared" si="1"/>
        <v/>
      </c>
    </row>
    <row r="326" ht="15.75" customHeight="1">
      <c r="A326" s="99"/>
      <c r="B326" s="93"/>
      <c r="C326" s="93"/>
      <c r="D326" s="93"/>
      <c r="E326" s="94"/>
      <c r="F326" s="93"/>
      <c r="G326" s="93"/>
      <c r="H326" s="93"/>
      <c r="I326" s="43" t="str">
        <f>IF(AND(A326&gt;=Dashboard!$B$2,A326&lt;EDATE(Dashboard!$B$2,1),D326&lt;&gt;""),E326,"")</f>
        <v/>
      </c>
      <c r="J326" s="43" t="str">
        <f t="shared" si="1"/>
        <v/>
      </c>
    </row>
    <row r="327" ht="15.75" customHeight="1">
      <c r="A327" s="99"/>
      <c r="B327" s="93"/>
      <c r="C327" s="93"/>
      <c r="D327" s="93"/>
      <c r="E327" s="94"/>
      <c r="F327" s="93"/>
      <c r="G327" s="93"/>
      <c r="H327" s="93"/>
      <c r="I327" s="43" t="str">
        <f>IF(AND(A327&gt;=Dashboard!$B$2,A327&lt;EDATE(Dashboard!$B$2,1),D327&lt;&gt;""),E327,"")</f>
        <v/>
      </c>
      <c r="J327" s="43" t="str">
        <f t="shared" si="1"/>
        <v/>
      </c>
    </row>
    <row r="328" ht="15.75" customHeight="1">
      <c r="A328" s="99"/>
      <c r="B328" s="93"/>
      <c r="C328" s="93"/>
      <c r="D328" s="93"/>
      <c r="E328" s="94"/>
      <c r="F328" s="93"/>
      <c r="G328" s="93"/>
      <c r="H328" s="93"/>
      <c r="I328" s="43" t="str">
        <f>IF(AND(A328&gt;=Dashboard!$B$2,A328&lt;EDATE(Dashboard!$B$2,1),D328&lt;&gt;""),E328,"")</f>
        <v/>
      </c>
      <c r="J328" s="43" t="str">
        <f t="shared" si="1"/>
        <v/>
      </c>
    </row>
    <row r="329" ht="15.75" customHeight="1">
      <c r="A329" s="99"/>
      <c r="B329" s="93"/>
      <c r="C329" s="93"/>
      <c r="D329" s="93"/>
      <c r="E329" s="94"/>
      <c r="F329" s="93"/>
      <c r="G329" s="93"/>
      <c r="H329" s="93"/>
      <c r="I329" s="43" t="str">
        <f>IF(AND(A329&gt;=Dashboard!$B$2,A329&lt;EDATE(Dashboard!$B$2,1),D329&lt;&gt;""),E329,"")</f>
        <v/>
      </c>
      <c r="J329" s="43" t="str">
        <f t="shared" si="1"/>
        <v/>
      </c>
    </row>
    <row r="330" ht="15.75" customHeight="1">
      <c r="A330" s="99"/>
      <c r="B330" s="93"/>
      <c r="C330" s="93"/>
      <c r="D330" s="93"/>
      <c r="E330" s="94"/>
      <c r="F330" s="93"/>
      <c r="G330" s="93"/>
      <c r="H330" s="93"/>
      <c r="I330" s="43" t="str">
        <f>IF(AND(A330&gt;=Dashboard!$B$2,A330&lt;EDATE(Dashboard!$B$2,1),D330&lt;&gt;""),E330,"")</f>
        <v/>
      </c>
      <c r="J330" s="43" t="str">
        <f t="shared" si="1"/>
        <v/>
      </c>
    </row>
    <row r="331" ht="15.75" customHeight="1">
      <c r="A331" s="99"/>
      <c r="B331" s="93"/>
      <c r="C331" s="93"/>
      <c r="D331" s="93"/>
      <c r="E331" s="94"/>
      <c r="F331" s="93"/>
      <c r="G331" s="93"/>
      <c r="H331" s="93"/>
      <c r="I331" s="43" t="str">
        <f>IF(AND(A331&gt;=Dashboard!$B$2,A331&lt;EDATE(Dashboard!$B$2,1),D331&lt;&gt;""),E331,"")</f>
        <v/>
      </c>
      <c r="J331" s="43" t="str">
        <f t="shared" si="1"/>
        <v/>
      </c>
    </row>
    <row r="332" ht="15.75" customHeight="1">
      <c r="A332" s="99"/>
      <c r="B332" s="93"/>
      <c r="C332" s="93"/>
      <c r="D332" s="93"/>
      <c r="E332" s="94"/>
      <c r="F332" s="93"/>
      <c r="G332" s="93"/>
      <c r="H332" s="93"/>
      <c r="I332" s="43" t="str">
        <f>IF(AND(A332&gt;=Dashboard!$B$2,A332&lt;EDATE(Dashboard!$B$2,1),D332&lt;&gt;""),E332,"")</f>
        <v/>
      </c>
      <c r="J332" s="43" t="str">
        <f t="shared" si="1"/>
        <v/>
      </c>
    </row>
    <row r="333" ht="15.75" customHeight="1">
      <c r="A333" s="99"/>
      <c r="B333" s="93"/>
      <c r="C333" s="93"/>
      <c r="D333" s="93"/>
      <c r="E333" s="94"/>
      <c r="F333" s="93"/>
      <c r="G333" s="93"/>
      <c r="H333" s="93"/>
      <c r="I333" s="43" t="str">
        <f>IF(AND(A333&gt;=Dashboard!$B$2,A333&lt;EDATE(Dashboard!$B$2,1),D333&lt;&gt;""),E333,"")</f>
        <v/>
      </c>
      <c r="J333" s="43" t="str">
        <f t="shared" si="1"/>
        <v/>
      </c>
    </row>
    <row r="334" ht="15.75" customHeight="1">
      <c r="A334" s="99"/>
      <c r="B334" s="93"/>
      <c r="C334" s="93"/>
      <c r="D334" s="93"/>
      <c r="E334" s="94"/>
      <c r="F334" s="93"/>
      <c r="G334" s="93"/>
      <c r="H334" s="93"/>
      <c r="I334" s="43" t="str">
        <f>IF(AND(A334&gt;=Dashboard!$B$2,A334&lt;EDATE(Dashboard!$B$2,1),D334&lt;&gt;""),E334,"")</f>
        <v/>
      </c>
      <c r="J334" s="43" t="str">
        <f t="shared" si="1"/>
        <v/>
      </c>
    </row>
    <row r="335" ht="15.75" customHeight="1">
      <c r="A335" s="99"/>
      <c r="B335" s="93"/>
      <c r="C335" s="93"/>
      <c r="D335" s="93"/>
      <c r="E335" s="94"/>
      <c r="F335" s="93"/>
      <c r="G335" s="93"/>
      <c r="H335" s="93"/>
      <c r="I335" s="43" t="str">
        <f>IF(AND(A335&gt;=Dashboard!$B$2,A335&lt;EDATE(Dashboard!$B$2,1),D335&lt;&gt;""),E335,"")</f>
        <v/>
      </c>
      <c r="J335" s="43" t="str">
        <f t="shared" si="1"/>
        <v/>
      </c>
    </row>
    <row r="336" ht="15.75" customHeight="1">
      <c r="A336" s="99"/>
      <c r="B336" s="93"/>
      <c r="C336" s="93"/>
      <c r="D336" s="93"/>
      <c r="E336" s="94"/>
      <c r="F336" s="93"/>
      <c r="G336" s="93"/>
      <c r="H336" s="93"/>
      <c r="I336" s="43" t="str">
        <f>IF(AND(A336&gt;=Dashboard!$B$2,A336&lt;EDATE(Dashboard!$B$2,1),D336&lt;&gt;""),E336,"")</f>
        <v/>
      </c>
      <c r="J336" s="43" t="str">
        <f t="shared" si="1"/>
        <v/>
      </c>
    </row>
    <row r="337" ht="15.75" customHeight="1">
      <c r="A337" s="99"/>
      <c r="B337" s="93"/>
      <c r="C337" s="93"/>
      <c r="D337" s="93"/>
      <c r="E337" s="94"/>
      <c r="F337" s="93"/>
      <c r="G337" s="93"/>
      <c r="H337" s="93"/>
      <c r="I337" s="43" t="str">
        <f>IF(AND(A337&gt;=Dashboard!$B$2,A337&lt;EDATE(Dashboard!$B$2,1),D337&lt;&gt;""),E337,"")</f>
        <v/>
      </c>
      <c r="J337" s="43" t="str">
        <f t="shared" si="1"/>
        <v/>
      </c>
    </row>
    <row r="338" ht="15.75" customHeight="1">
      <c r="A338" s="99"/>
      <c r="B338" s="93"/>
      <c r="C338" s="93"/>
      <c r="D338" s="93"/>
      <c r="E338" s="94"/>
      <c r="F338" s="93"/>
      <c r="G338" s="93"/>
      <c r="H338" s="93"/>
      <c r="I338" s="43" t="str">
        <f>IF(AND(A338&gt;=Dashboard!$B$2,A338&lt;EDATE(Dashboard!$B$2,1),D338&lt;&gt;""),E338,"")</f>
        <v/>
      </c>
      <c r="J338" s="43" t="str">
        <f t="shared" si="1"/>
        <v/>
      </c>
    </row>
    <row r="339" ht="15.75" customHeight="1">
      <c r="A339" s="99"/>
      <c r="B339" s="93"/>
      <c r="C339" s="93"/>
      <c r="D339" s="93"/>
      <c r="E339" s="94"/>
      <c r="F339" s="93"/>
      <c r="G339" s="93"/>
      <c r="H339" s="93"/>
      <c r="I339" s="43" t="str">
        <f>IF(AND(A339&gt;=Dashboard!$B$2,A339&lt;EDATE(Dashboard!$B$2,1),D339&lt;&gt;""),E339,"")</f>
        <v/>
      </c>
      <c r="J339" s="43" t="str">
        <f t="shared" si="1"/>
        <v/>
      </c>
    </row>
    <row r="340" ht="15.75" customHeight="1">
      <c r="A340" s="99"/>
      <c r="B340" s="93"/>
      <c r="C340" s="93"/>
      <c r="D340" s="93"/>
      <c r="E340" s="94"/>
      <c r="F340" s="93"/>
      <c r="G340" s="93"/>
      <c r="H340" s="93"/>
      <c r="I340" s="43" t="str">
        <f>IF(AND(A340&gt;=Dashboard!$B$2,A340&lt;EDATE(Dashboard!$B$2,1),D340&lt;&gt;""),E340,"")</f>
        <v/>
      </c>
      <c r="J340" s="43" t="str">
        <f t="shared" si="1"/>
        <v/>
      </c>
    </row>
    <row r="341" ht="15.75" customHeight="1">
      <c r="A341" s="99"/>
      <c r="B341" s="93"/>
      <c r="C341" s="93"/>
      <c r="D341" s="93"/>
      <c r="E341" s="94"/>
      <c r="F341" s="93"/>
      <c r="G341" s="93"/>
      <c r="H341" s="93"/>
      <c r="I341" s="43" t="str">
        <f>IF(AND(A341&gt;=Dashboard!$B$2,A341&lt;EDATE(Dashboard!$B$2,1),D341&lt;&gt;""),E341,"")</f>
        <v/>
      </c>
      <c r="J341" s="43" t="str">
        <f t="shared" si="1"/>
        <v/>
      </c>
    </row>
    <row r="342" ht="15.75" customHeight="1">
      <c r="A342" s="99"/>
      <c r="B342" s="93"/>
      <c r="C342" s="93"/>
      <c r="D342" s="93"/>
      <c r="E342" s="94"/>
      <c r="F342" s="93"/>
      <c r="G342" s="93"/>
      <c r="H342" s="93"/>
      <c r="I342" s="43" t="str">
        <f>IF(AND(A342&gt;=Dashboard!$B$2,A342&lt;EDATE(Dashboard!$B$2,1),D342&lt;&gt;""),E342,"")</f>
        <v/>
      </c>
      <c r="J342" s="43" t="str">
        <f t="shared" si="1"/>
        <v/>
      </c>
    </row>
    <row r="343" ht="15.75" customHeight="1">
      <c r="A343" s="99"/>
      <c r="B343" s="93"/>
      <c r="C343" s="93"/>
      <c r="D343" s="93"/>
      <c r="E343" s="94"/>
      <c r="F343" s="93"/>
      <c r="G343" s="93"/>
      <c r="H343" s="93"/>
      <c r="I343" s="43" t="str">
        <f>IF(AND(A343&gt;=Dashboard!$B$2,A343&lt;EDATE(Dashboard!$B$2,1),D343&lt;&gt;""),E343,"")</f>
        <v/>
      </c>
      <c r="J343" s="43" t="str">
        <f t="shared" si="1"/>
        <v/>
      </c>
    </row>
    <row r="344" ht="15.75" customHeight="1">
      <c r="A344" s="99"/>
      <c r="B344" s="93"/>
      <c r="C344" s="93"/>
      <c r="D344" s="93"/>
      <c r="E344" s="94"/>
      <c r="F344" s="93"/>
      <c r="G344" s="93"/>
      <c r="H344" s="93"/>
      <c r="I344" s="43" t="str">
        <f>IF(AND(A344&gt;=Dashboard!$B$2,A344&lt;EDATE(Dashboard!$B$2,1),D344&lt;&gt;""),E344,"")</f>
        <v/>
      </c>
      <c r="J344" s="43" t="str">
        <f t="shared" si="1"/>
        <v/>
      </c>
    </row>
    <row r="345" ht="15.75" customHeight="1">
      <c r="A345" s="99"/>
      <c r="B345" s="93"/>
      <c r="C345" s="93"/>
      <c r="D345" s="93"/>
      <c r="E345" s="94"/>
      <c r="F345" s="93"/>
      <c r="G345" s="93"/>
      <c r="H345" s="93"/>
      <c r="I345" s="43" t="str">
        <f>IF(AND(A345&gt;=Dashboard!$B$2,A345&lt;EDATE(Dashboard!$B$2,1),D345&lt;&gt;""),E345,"")</f>
        <v/>
      </c>
      <c r="J345" s="43" t="str">
        <f t="shared" si="1"/>
        <v/>
      </c>
    </row>
    <row r="346" ht="15.75" customHeight="1">
      <c r="A346" s="99"/>
      <c r="B346" s="93"/>
      <c r="C346" s="93"/>
      <c r="D346" s="93"/>
      <c r="E346" s="94"/>
      <c r="F346" s="93"/>
      <c r="G346" s="93"/>
      <c r="H346" s="93"/>
      <c r="I346" s="43" t="str">
        <f>IF(AND(A346&gt;=Dashboard!$B$2,A346&lt;EDATE(Dashboard!$B$2,1),D346&lt;&gt;""),E346,"")</f>
        <v/>
      </c>
      <c r="J346" s="43" t="str">
        <f t="shared" si="1"/>
        <v/>
      </c>
    </row>
    <row r="347" ht="15.75" customHeight="1">
      <c r="A347" s="99"/>
      <c r="B347" s="93"/>
      <c r="C347" s="93"/>
      <c r="D347" s="93"/>
      <c r="E347" s="94"/>
      <c r="F347" s="93"/>
      <c r="G347" s="93"/>
      <c r="H347" s="93"/>
      <c r="I347" s="43" t="str">
        <f>IF(AND(A347&gt;=Dashboard!$B$2,A347&lt;EDATE(Dashboard!$B$2,1),D347&lt;&gt;""),E347,"")</f>
        <v/>
      </c>
      <c r="J347" s="43" t="str">
        <f t="shared" si="1"/>
        <v/>
      </c>
    </row>
    <row r="348" ht="15.75" customHeight="1">
      <c r="A348" s="99"/>
      <c r="B348" s="93"/>
      <c r="C348" s="93"/>
      <c r="D348" s="93"/>
      <c r="E348" s="94"/>
      <c r="F348" s="93"/>
      <c r="G348" s="93"/>
      <c r="H348" s="93"/>
      <c r="I348" s="43" t="str">
        <f>IF(AND(A348&gt;=Dashboard!$B$2,A348&lt;EDATE(Dashboard!$B$2,1),D348&lt;&gt;""),E348,"")</f>
        <v/>
      </c>
      <c r="J348" s="43" t="str">
        <f t="shared" si="1"/>
        <v/>
      </c>
    </row>
    <row r="349" ht="15.75" customHeight="1">
      <c r="A349" s="99"/>
      <c r="B349" s="93"/>
      <c r="C349" s="93"/>
      <c r="D349" s="93"/>
      <c r="E349" s="94"/>
      <c r="F349" s="93"/>
      <c r="G349" s="93"/>
      <c r="H349" s="93"/>
      <c r="I349" s="43" t="str">
        <f>IF(AND(A349&gt;=Dashboard!$B$2,A349&lt;EDATE(Dashboard!$B$2,1),D349&lt;&gt;""),E349,"")</f>
        <v/>
      </c>
      <c r="J349" s="43" t="str">
        <f t="shared" si="1"/>
        <v/>
      </c>
    </row>
    <row r="350" ht="15.75" customHeight="1">
      <c r="A350" s="99"/>
      <c r="B350" s="93"/>
      <c r="C350" s="93"/>
      <c r="D350" s="93"/>
      <c r="E350" s="94"/>
      <c r="F350" s="93"/>
      <c r="G350" s="93"/>
      <c r="H350" s="93"/>
      <c r="I350" s="43" t="str">
        <f>IF(AND(A350&gt;=Dashboard!$B$2,A350&lt;EDATE(Dashboard!$B$2,1),D350&lt;&gt;""),E350,"")</f>
        <v/>
      </c>
      <c r="J350" s="43" t="str">
        <f t="shared" si="1"/>
        <v/>
      </c>
    </row>
    <row r="351" ht="15.75" customHeight="1">
      <c r="A351" s="99"/>
      <c r="B351" s="93"/>
      <c r="C351" s="93"/>
      <c r="D351" s="93"/>
      <c r="E351" s="94"/>
      <c r="F351" s="93"/>
      <c r="G351" s="93"/>
      <c r="H351" s="93"/>
      <c r="I351" s="43" t="str">
        <f>IF(AND(A351&gt;=Dashboard!$B$2,A351&lt;EDATE(Dashboard!$B$2,1),D351&lt;&gt;""),E351,"")</f>
        <v/>
      </c>
      <c r="J351" s="43" t="str">
        <f t="shared" si="1"/>
        <v/>
      </c>
    </row>
    <row r="352" ht="15.75" customHeight="1">
      <c r="A352" s="99"/>
      <c r="B352" s="93"/>
      <c r="C352" s="93"/>
      <c r="D352" s="93"/>
      <c r="E352" s="94"/>
      <c r="F352" s="93"/>
      <c r="G352" s="93"/>
      <c r="H352" s="93"/>
      <c r="I352" s="43" t="str">
        <f>IF(AND(A352&gt;=Dashboard!$B$2,A352&lt;EDATE(Dashboard!$B$2,1),D352&lt;&gt;""),E352,"")</f>
        <v/>
      </c>
      <c r="J352" s="43" t="str">
        <f t="shared" si="1"/>
        <v/>
      </c>
    </row>
    <row r="353" ht="15.75" customHeight="1">
      <c r="A353" s="99"/>
      <c r="B353" s="93"/>
      <c r="C353" s="93"/>
      <c r="D353" s="93"/>
      <c r="E353" s="94"/>
      <c r="F353" s="93"/>
      <c r="G353" s="93"/>
      <c r="H353" s="93"/>
      <c r="I353" s="43" t="str">
        <f>IF(AND(A353&gt;=Dashboard!$B$2,A353&lt;EDATE(Dashboard!$B$2,1),D353&lt;&gt;""),E353,"")</f>
        <v/>
      </c>
      <c r="J353" s="43" t="str">
        <f t="shared" si="1"/>
        <v/>
      </c>
    </row>
    <row r="354" ht="15.75" customHeight="1">
      <c r="A354" s="99"/>
      <c r="B354" s="93"/>
      <c r="C354" s="93"/>
      <c r="D354" s="93"/>
      <c r="E354" s="94"/>
      <c r="F354" s="93"/>
      <c r="G354" s="93"/>
      <c r="H354" s="93"/>
      <c r="I354" s="43" t="str">
        <f>IF(AND(A354&gt;=Dashboard!$B$2,A354&lt;EDATE(Dashboard!$B$2,1),D354&lt;&gt;""),E354,"")</f>
        <v/>
      </c>
      <c r="J354" s="43" t="str">
        <f t="shared" si="1"/>
        <v/>
      </c>
    </row>
    <row r="355" ht="15.75" customHeight="1">
      <c r="A355" s="99"/>
      <c r="B355" s="93"/>
      <c r="C355" s="93"/>
      <c r="D355" s="93"/>
      <c r="E355" s="94"/>
      <c r="F355" s="93"/>
      <c r="G355" s="93"/>
      <c r="H355" s="93"/>
      <c r="I355" s="43" t="str">
        <f>IF(AND(A355&gt;=Dashboard!$B$2,A355&lt;EDATE(Dashboard!$B$2,1),D355&lt;&gt;""),E355,"")</f>
        <v/>
      </c>
      <c r="J355" s="43" t="str">
        <f t="shared" si="1"/>
        <v/>
      </c>
    </row>
    <row r="356" ht="15.75" customHeight="1">
      <c r="A356" s="99"/>
      <c r="B356" s="93"/>
      <c r="C356" s="93"/>
      <c r="D356" s="93"/>
      <c r="E356" s="94"/>
      <c r="F356" s="93"/>
      <c r="G356" s="93"/>
      <c r="H356" s="93"/>
      <c r="I356" s="43" t="str">
        <f>IF(AND(A356&gt;=Dashboard!$B$2,A356&lt;EDATE(Dashboard!$B$2,1),D356&lt;&gt;""),E356,"")</f>
        <v/>
      </c>
      <c r="J356" s="43" t="str">
        <f t="shared" si="1"/>
        <v/>
      </c>
    </row>
    <row r="357" ht="15.75" customHeight="1">
      <c r="A357" s="99"/>
      <c r="B357" s="93"/>
      <c r="C357" s="93"/>
      <c r="D357" s="93"/>
      <c r="E357" s="94"/>
      <c r="F357" s="93"/>
      <c r="G357" s="93"/>
      <c r="H357" s="93"/>
      <c r="I357" s="43" t="str">
        <f>IF(AND(A357&gt;=Dashboard!$B$2,A357&lt;EDATE(Dashboard!$B$2,1),D357&lt;&gt;""),E357,"")</f>
        <v/>
      </c>
      <c r="J357" s="43" t="str">
        <f t="shared" si="1"/>
        <v/>
      </c>
    </row>
    <row r="358" ht="15.75" customHeight="1">
      <c r="A358" s="99"/>
      <c r="B358" s="93"/>
      <c r="C358" s="93"/>
      <c r="D358" s="93"/>
      <c r="E358" s="94"/>
      <c r="F358" s="93"/>
      <c r="G358" s="93"/>
      <c r="H358" s="93"/>
      <c r="I358" s="43" t="str">
        <f>IF(AND(A358&gt;=Dashboard!$B$2,A358&lt;EDATE(Dashboard!$B$2,1),D358&lt;&gt;""),E358,"")</f>
        <v/>
      </c>
      <c r="J358" s="43" t="str">
        <f t="shared" si="1"/>
        <v/>
      </c>
    </row>
    <row r="359" ht="15.75" customHeight="1">
      <c r="A359" s="99"/>
      <c r="B359" s="93"/>
      <c r="C359" s="93"/>
      <c r="D359" s="93"/>
      <c r="E359" s="94"/>
      <c r="F359" s="93"/>
      <c r="G359" s="93"/>
      <c r="H359" s="93"/>
      <c r="I359" s="43" t="str">
        <f>IF(AND(A359&gt;=Dashboard!$B$2,A359&lt;EDATE(Dashboard!$B$2,1),D359&lt;&gt;""),E359,"")</f>
        <v/>
      </c>
      <c r="J359" s="43" t="str">
        <f t="shared" si="1"/>
        <v/>
      </c>
    </row>
    <row r="360" ht="15.75" customHeight="1">
      <c r="A360" s="99"/>
      <c r="B360" s="93"/>
      <c r="C360" s="93"/>
      <c r="D360" s="93"/>
      <c r="E360" s="94"/>
      <c r="F360" s="93"/>
      <c r="G360" s="93"/>
      <c r="H360" s="93"/>
      <c r="I360" s="43" t="str">
        <f>IF(AND(A360&gt;=Dashboard!$B$2,A360&lt;EDATE(Dashboard!$B$2,1),D360&lt;&gt;""),E360,"")</f>
        <v/>
      </c>
      <c r="J360" s="43" t="str">
        <f t="shared" si="1"/>
        <v/>
      </c>
    </row>
    <row r="361" ht="15.75" customHeight="1">
      <c r="A361" s="99"/>
      <c r="B361" s="93"/>
      <c r="C361" s="93"/>
      <c r="D361" s="93"/>
      <c r="E361" s="94"/>
      <c r="F361" s="93"/>
      <c r="G361" s="93"/>
      <c r="H361" s="93"/>
      <c r="I361" s="43" t="str">
        <f>IF(AND(A361&gt;=Dashboard!$B$2,A361&lt;EDATE(Dashboard!$B$2,1),D361&lt;&gt;""),E361,"")</f>
        <v/>
      </c>
      <c r="J361" s="43" t="str">
        <f t="shared" si="1"/>
        <v/>
      </c>
    </row>
    <row r="362" ht="15.75" customHeight="1">
      <c r="A362" s="99"/>
      <c r="B362" s="93"/>
      <c r="C362" s="93"/>
      <c r="D362" s="93"/>
      <c r="E362" s="94"/>
      <c r="F362" s="93"/>
      <c r="G362" s="93"/>
      <c r="H362" s="93"/>
      <c r="I362" s="43" t="str">
        <f>IF(AND(A362&gt;=Dashboard!$B$2,A362&lt;EDATE(Dashboard!$B$2,1),D362&lt;&gt;""),E362,"")</f>
        <v/>
      </c>
      <c r="J362" s="43" t="str">
        <f t="shared" si="1"/>
        <v/>
      </c>
    </row>
    <row r="363" ht="15.75" customHeight="1">
      <c r="A363" s="99"/>
      <c r="B363" s="93"/>
      <c r="C363" s="93"/>
      <c r="D363" s="93"/>
      <c r="E363" s="94"/>
      <c r="F363" s="93"/>
      <c r="G363" s="93"/>
      <c r="H363" s="93"/>
      <c r="I363" s="43" t="str">
        <f>IF(AND(A363&gt;=Dashboard!$B$2,A363&lt;EDATE(Dashboard!$B$2,1),D363&lt;&gt;""),E363,"")</f>
        <v/>
      </c>
      <c r="J363" s="43" t="str">
        <f t="shared" si="1"/>
        <v/>
      </c>
    </row>
    <row r="364" ht="15.75" customHeight="1">
      <c r="A364" s="99"/>
      <c r="B364" s="93"/>
      <c r="C364" s="93"/>
      <c r="D364" s="93"/>
      <c r="E364" s="94"/>
      <c r="F364" s="93"/>
      <c r="G364" s="93"/>
      <c r="H364" s="93"/>
      <c r="I364" s="43" t="str">
        <f>IF(AND(A364&gt;=Dashboard!$B$2,A364&lt;EDATE(Dashboard!$B$2,1),D364&lt;&gt;""),E364,"")</f>
        <v/>
      </c>
      <c r="J364" s="43" t="str">
        <f t="shared" si="1"/>
        <v/>
      </c>
    </row>
    <row r="365" ht="15.75" customHeight="1">
      <c r="A365" s="99"/>
      <c r="B365" s="93"/>
      <c r="C365" s="93"/>
      <c r="D365" s="93"/>
      <c r="E365" s="94"/>
      <c r="F365" s="93"/>
      <c r="G365" s="93"/>
      <c r="H365" s="93"/>
      <c r="I365" s="43" t="str">
        <f>IF(AND(A365&gt;=Dashboard!$B$2,A365&lt;EDATE(Dashboard!$B$2,1),D365&lt;&gt;""),E365,"")</f>
        <v/>
      </c>
      <c r="J365" s="43" t="str">
        <f t="shared" si="1"/>
        <v/>
      </c>
    </row>
    <row r="366" ht="15.75" customHeight="1">
      <c r="A366" s="99"/>
      <c r="B366" s="93"/>
      <c r="C366" s="93"/>
      <c r="D366" s="93"/>
      <c r="E366" s="94"/>
      <c r="F366" s="93"/>
      <c r="G366" s="93"/>
      <c r="H366" s="93"/>
      <c r="I366" s="43" t="str">
        <f>IF(AND(A366&gt;=Dashboard!$B$2,A366&lt;EDATE(Dashboard!$B$2,1),D366&lt;&gt;""),E366,"")</f>
        <v/>
      </c>
      <c r="J366" s="43" t="str">
        <f t="shared" si="1"/>
        <v/>
      </c>
    </row>
    <row r="367" ht="15.75" customHeight="1">
      <c r="A367" s="99"/>
      <c r="B367" s="93"/>
      <c r="C367" s="93"/>
      <c r="D367" s="93"/>
      <c r="E367" s="94"/>
      <c r="F367" s="93"/>
      <c r="G367" s="93"/>
      <c r="H367" s="93"/>
      <c r="I367" s="43" t="str">
        <f>IF(AND(A367&gt;=Dashboard!$B$2,A367&lt;EDATE(Dashboard!$B$2,1),D367&lt;&gt;""),E367,"")</f>
        <v/>
      </c>
      <c r="J367" s="43" t="str">
        <f t="shared" si="1"/>
        <v/>
      </c>
    </row>
    <row r="368" ht="15.75" customHeight="1">
      <c r="A368" s="99"/>
      <c r="B368" s="93"/>
      <c r="C368" s="93"/>
      <c r="D368" s="93"/>
      <c r="E368" s="94"/>
      <c r="F368" s="93"/>
      <c r="G368" s="93"/>
      <c r="H368" s="93"/>
      <c r="I368" s="43" t="str">
        <f>IF(AND(A368&gt;=Dashboard!$B$2,A368&lt;EDATE(Dashboard!$B$2,1),D368&lt;&gt;""),E368,"")</f>
        <v/>
      </c>
      <c r="J368" s="43" t="str">
        <f t="shared" si="1"/>
        <v/>
      </c>
    </row>
    <row r="369" ht="15.75" customHeight="1">
      <c r="A369" s="99"/>
      <c r="B369" s="93"/>
      <c r="C369" s="93"/>
      <c r="D369" s="93"/>
      <c r="E369" s="94"/>
      <c r="F369" s="93"/>
      <c r="G369" s="93"/>
      <c r="H369" s="93"/>
      <c r="I369" s="43" t="str">
        <f>IF(AND(A369&gt;=Dashboard!$B$2,A369&lt;EDATE(Dashboard!$B$2,1),D369&lt;&gt;""),E369,"")</f>
        <v/>
      </c>
      <c r="J369" s="43" t="str">
        <f t="shared" si="1"/>
        <v/>
      </c>
    </row>
    <row r="370" ht="15.75" customHeight="1">
      <c r="A370" s="99"/>
      <c r="B370" s="93"/>
      <c r="C370" s="93"/>
      <c r="D370" s="93"/>
      <c r="E370" s="94"/>
      <c r="F370" s="93"/>
      <c r="G370" s="93"/>
      <c r="H370" s="93"/>
      <c r="I370" s="43" t="str">
        <f>IF(AND(A370&gt;=Dashboard!$B$2,A370&lt;EDATE(Dashboard!$B$2,1),D370&lt;&gt;""),E370,"")</f>
        <v/>
      </c>
      <c r="J370" s="43" t="str">
        <f t="shared" si="1"/>
        <v/>
      </c>
    </row>
    <row r="371" ht="15.75" customHeight="1">
      <c r="A371" s="99"/>
      <c r="B371" s="93"/>
      <c r="C371" s="93"/>
      <c r="D371" s="93"/>
      <c r="E371" s="94"/>
      <c r="F371" s="93"/>
      <c r="G371" s="93"/>
      <c r="H371" s="93"/>
      <c r="I371" s="43" t="str">
        <f>IF(AND(A371&gt;=Dashboard!$B$2,A371&lt;EDATE(Dashboard!$B$2,1),D371&lt;&gt;""),E371,"")</f>
        <v/>
      </c>
      <c r="J371" s="43" t="str">
        <f t="shared" si="1"/>
        <v/>
      </c>
    </row>
    <row r="372" ht="15.75" customHeight="1">
      <c r="A372" s="99"/>
      <c r="B372" s="93"/>
      <c r="C372" s="93"/>
      <c r="D372" s="93"/>
      <c r="E372" s="94"/>
      <c r="F372" s="93"/>
      <c r="G372" s="93"/>
      <c r="H372" s="93"/>
      <c r="I372" s="43" t="str">
        <f>IF(AND(A372&gt;=Dashboard!$B$2,A372&lt;EDATE(Dashboard!$B$2,1),D372&lt;&gt;""),E372,"")</f>
        <v/>
      </c>
      <c r="J372" s="43" t="str">
        <f t="shared" si="1"/>
        <v/>
      </c>
    </row>
    <row r="373" ht="15.75" customHeight="1">
      <c r="A373" s="99"/>
      <c r="B373" s="93"/>
      <c r="C373" s="93"/>
      <c r="D373" s="93"/>
      <c r="E373" s="94"/>
      <c r="F373" s="93"/>
      <c r="G373" s="93"/>
      <c r="H373" s="93"/>
      <c r="I373" s="43" t="str">
        <f>IF(AND(A373&gt;=Dashboard!$B$2,A373&lt;EDATE(Dashboard!$B$2,1),D373&lt;&gt;""),E373,"")</f>
        <v/>
      </c>
      <c r="J373" s="43" t="str">
        <f t="shared" si="1"/>
        <v/>
      </c>
    </row>
    <row r="374" ht="15.75" customHeight="1">
      <c r="A374" s="99"/>
      <c r="B374" s="93"/>
      <c r="C374" s="93"/>
      <c r="D374" s="93"/>
      <c r="E374" s="94"/>
      <c r="F374" s="93"/>
      <c r="G374" s="93"/>
      <c r="H374" s="93"/>
      <c r="I374" s="43" t="str">
        <f>IF(AND(A374&gt;=Dashboard!$B$2,A374&lt;EDATE(Dashboard!$B$2,1),D374&lt;&gt;""),E374,"")</f>
        <v/>
      </c>
      <c r="J374" s="43" t="str">
        <f t="shared" si="1"/>
        <v/>
      </c>
    </row>
    <row r="375" ht="15.75" customHeight="1">
      <c r="A375" s="99"/>
      <c r="B375" s="93"/>
      <c r="C375" s="93"/>
      <c r="D375" s="93"/>
      <c r="E375" s="94"/>
      <c r="F375" s="93"/>
      <c r="G375" s="93"/>
      <c r="H375" s="93"/>
      <c r="I375" s="43" t="str">
        <f>IF(AND(A375&gt;=Dashboard!$B$2,A375&lt;EDATE(Dashboard!$B$2,1),D375&lt;&gt;""),E375,"")</f>
        <v/>
      </c>
      <c r="J375" s="43" t="str">
        <f t="shared" si="1"/>
        <v/>
      </c>
    </row>
    <row r="376" ht="15.75" customHeight="1">
      <c r="A376" s="99"/>
      <c r="B376" s="93"/>
      <c r="C376" s="93"/>
      <c r="D376" s="93"/>
      <c r="E376" s="94"/>
      <c r="F376" s="93"/>
      <c r="G376" s="93"/>
      <c r="H376" s="93"/>
      <c r="I376" s="43" t="str">
        <f>IF(AND(A376&gt;=Dashboard!$B$2,A376&lt;EDATE(Dashboard!$B$2,1),D376&lt;&gt;""),E376,"")</f>
        <v/>
      </c>
      <c r="J376" s="43" t="str">
        <f t="shared" si="1"/>
        <v/>
      </c>
    </row>
    <row r="377" ht="15.75" customHeight="1">
      <c r="A377" s="99"/>
      <c r="B377" s="93"/>
      <c r="C377" s="93"/>
      <c r="D377" s="93"/>
      <c r="E377" s="94"/>
      <c r="F377" s="93"/>
      <c r="G377" s="93"/>
      <c r="H377" s="93"/>
      <c r="I377" s="43" t="str">
        <f>IF(AND(A377&gt;=Dashboard!$B$2,A377&lt;EDATE(Dashboard!$B$2,1),D377&lt;&gt;""),E377,"")</f>
        <v/>
      </c>
      <c r="J377" s="43" t="str">
        <f t="shared" si="1"/>
        <v/>
      </c>
    </row>
    <row r="378" ht="15.75" customHeight="1">
      <c r="A378" s="99"/>
      <c r="B378" s="93"/>
      <c r="C378" s="93"/>
      <c r="D378" s="93"/>
      <c r="E378" s="94"/>
      <c r="F378" s="93"/>
      <c r="G378" s="93"/>
      <c r="H378" s="93"/>
      <c r="I378" s="43" t="str">
        <f>IF(AND(A378&gt;=Dashboard!$B$2,A378&lt;EDATE(Dashboard!$B$2,1),D378&lt;&gt;""),E378,"")</f>
        <v/>
      </c>
      <c r="J378" s="43" t="str">
        <f t="shared" si="1"/>
        <v/>
      </c>
    </row>
    <row r="379" ht="15.75" customHeight="1">
      <c r="A379" s="99"/>
      <c r="B379" s="93"/>
      <c r="C379" s="93"/>
      <c r="D379" s="93"/>
      <c r="E379" s="94"/>
      <c r="F379" s="93"/>
      <c r="G379" s="93"/>
      <c r="H379" s="93"/>
      <c r="I379" s="43" t="str">
        <f>IF(AND(A379&gt;=Dashboard!$B$2,A379&lt;EDATE(Dashboard!$B$2,1),D379&lt;&gt;""),E379,"")</f>
        <v/>
      </c>
      <c r="J379" s="43" t="str">
        <f t="shared" si="1"/>
        <v/>
      </c>
    </row>
    <row r="380" ht="15.75" customHeight="1">
      <c r="A380" s="99"/>
      <c r="B380" s="93"/>
      <c r="C380" s="93"/>
      <c r="D380" s="93"/>
      <c r="E380" s="94"/>
      <c r="F380" s="93"/>
      <c r="G380" s="93"/>
      <c r="H380" s="93"/>
      <c r="I380" s="43" t="str">
        <f>IF(AND(A380&gt;=Dashboard!$B$2,A380&lt;EDATE(Dashboard!$B$2,1),D380&lt;&gt;""),E380,"")</f>
        <v/>
      </c>
      <c r="J380" s="43" t="str">
        <f t="shared" si="1"/>
        <v/>
      </c>
    </row>
    <row r="381" ht="15.75" customHeight="1">
      <c r="A381" s="99"/>
      <c r="B381" s="93"/>
      <c r="C381" s="93"/>
      <c r="D381" s="93"/>
      <c r="E381" s="94"/>
      <c r="F381" s="93"/>
      <c r="G381" s="93"/>
      <c r="H381" s="93"/>
      <c r="I381" s="43" t="str">
        <f>IF(AND(A381&gt;=Dashboard!$B$2,A381&lt;EDATE(Dashboard!$B$2,1),D381&lt;&gt;""),E381,"")</f>
        <v/>
      </c>
      <c r="J381" s="43" t="str">
        <f t="shared" si="1"/>
        <v/>
      </c>
    </row>
    <row r="382" ht="15.75" customHeight="1">
      <c r="A382" s="99"/>
      <c r="B382" s="93"/>
      <c r="C382" s="93"/>
      <c r="D382" s="93"/>
      <c r="E382" s="94"/>
      <c r="F382" s="93"/>
      <c r="G382" s="93"/>
      <c r="H382" s="93"/>
      <c r="I382" s="43" t="str">
        <f>IF(AND(A382&gt;=Dashboard!$B$2,A382&lt;EDATE(Dashboard!$B$2,1),D382&lt;&gt;""),E382,"")</f>
        <v/>
      </c>
      <c r="J382" s="43" t="str">
        <f t="shared" si="1"/>
        <v/>
      </c>
    </row>
    <row r="383" ht="15.75" customHeight="1">
      <c r="A383" s="99"/>
      <c r="B383" s="93"/>
      <c r="C383" s="93"/>
      <c r="D383" s="93"/>
      <c r="E383" s="94"/>
      <c r="F383" s="93"/>
      <c r="G383" s="93"/>
      <c r="H383" s="93"/>
      <c r="I383" s="43" t="str">
        <f>IF(AND(A383&gt;=Dashboard!$B$2,A383&lt;EDATE(Dashboard!$B$2,1),D383&lt;&gt;""),E383,"")</f>
        <v/>
      </c>
      <c r="J383" s="43" t="str">
        <f t="shared" si="1"/>
        <v/>
      </c>
    </row>
    <row r="384" ht="15.75" customHeight="1">
      <c r="A384" s="99"/>
      <c r="B384" s="93"/>
      <c r="C384" s="93"/>
      <c r="D384" s="93"/>
      <c r="E384" s="94"/>
      <c r="F384" s="93"/>
      <c r="G384" s="93"/>
      <c r="H384" s="93"/>
      <c r="I384" s="43" t="str">
        <f>IF(AND(A384&gt;=Dashboard!$B$2,A384&lt;EDATE(Dashboard!$B$2,1),D384&lt;&gt;""),E384,"")</f>
        <v/>
      </c>
      <c r="J384" s="43" t="str">
        <f t="shared" si="1"/>
        <v/>
      </c>
    </row>
    <row r="385" ht="15.75" customHeight="1">
      <c r="A385" s="99"/>
      <c r="B385" s="93"/>
      <c r="C385" s="93"/>
      <c r="D385" s="93"/>
      <c r="E385" s="94"/>
      <c r="F385" s="93"/>
      <c r="G385" s="93"/>
      <c r="H385" s="93"/>
      <c r="I385" s="43" t="str">
        <f>IF(AND(A385&gt;=Dashboard!$B$2,A385&lt;EDATE(Dashboard!$B$2,1),D385&lt;&gt;""),E385,"")</f>
        <v/>
      </c>
      <c r="J385" s="43" t="str">
        <f t="shared" si="1"/>
        <v/>
      </c>
    </row>
    <row r="386" ht="15.75" customHeight="1">
      <c r="A386" s="99"/>
      <c r="B386" s="93"/>
      <c r="C386" s="93"/>
      <c r="D386" s="93"/>
      <c r="E386" s="94"/>
      <c r="F386" s="93"/>
      <c r="G386" s="93"/>
      <c r="H386" s="93"/>
      <c r="I386" s="43" t="str">
        <f>IF(AND(A386&gt;=Dashboard!$B$2,A386&lt;EDATE(Dashboard!$B$2,1),D386&lt;&gt;""),E386,"")</f>
        <v/>
      </c>
      <c r="J386" s="43" t="str">
        <f t="shared" si="1"/>
        <v/>
      </c>
    </row>
    <row r="387" ht="15.75" customHeight="1">
      <c r="A387" s="99"/>
      <c r="B387" s="93"/>
      <c r="C387" s="93"/>
      <c r="D387" s="93"/>
      <c r="E387" s="94"/>
      <c r="F387" s="93"/>
      <c r="G387" s="93"/>
      <c r="H387" s="93"/>
      <c r="I387" s="43" t="str">
        <f>IF(AND(A387&gt;=Dashboard!$B$2,A387&lt;EDATE(Dashboard!$B$2,1),D387&lt;&gt;""),E387,"")</f>
        <v/>
      </c>
      <c r="J387" s="43" t="str">
        <f t="shared" si="1"/>
        <v/>
      </c>
    </row>
    <row r="388" ht="15.75" customHeight="1">
      <c r="A388" s="99"/>
      <c r="B388" s="93"/>
      <c r="C388" s="93"/>
      <c r="D388" s="93"/>
      <c r="E388" s="94"/>
      <c r="F388" s="93"/>
      <c r="G388" s="93"/>
      <c r="H388" s="93"/>
      <c r="I388" s="43" t="str">
        <f>IF(AND(A388&gt;=Dashboard!$B$2,A388&lt;EDATE(Dashboard!$B$2,1),D388&lt;&gt;""),E388,"")</f>
        <v/>
      </c>
      <c r="J388" s="43" t="str">
        <f t="shared" si="1"/>
        <v/>
      </c>
    </row>
    <row r="389" ht="15.75" customHeight="1">
      <c r="A389" s="99"/>
      <c r="B389" s="93"/>
      <c r="C389" s="93"/>
      <c r="D389" s="93"/>
      <c r="E389" s="94"/>
      <c r="F389" s="93"/>
      <c r="G389" s="93"/>
      <c r="H389" s="93"/>
      <c r="I389" s="43" t="str">
        <f>IF(AND(A389&gt;=Dashboard!$B$2,A389&lt;EDATE(Dashboard!$B$2,1),D389&lt;&gt;""),E389,"")</f>
        <v/>
      </c>
      <c r="J389" s="43" t="str">
        <f t="shared" si="1"/>
        <v/>
      </c>
    </row>
    <row r="390" ht="15.75" customHeight="1">
      <c r="A390" s="99"/>
      <c r="B390" s="93"/>
      <c r="C390" s="93"/>
      <c r="D390" s="93"/>
      <c r="E390" s="94"/>
      <c r="F390" s="93"/>
      <c r="G390" s="93"/>
      <c r="H390" s="93"/>
      <c r="I390" s="43" t="str">
        <f>IF(AND(A390&gt;=Dashboard!$B$2,A390&lt;EDATE(Dashboard!$B$2,1),D390&lt;&gt;""),E390,"")</f>
        <v/>
      </c>
      <c r="J390" s="43" t="str">
        <f t="shared" si="1"/>
        <v/>
      </c>
    </row>
    <row r="391" ht="15.75" customHeight="1">
      <c r="A391" s="99"/>
      <c r="B391" s="93"/>
      <c r="C391" s="93"/>
      <c r="D391" s="93"/>
      <c r="E391" s="94"/>
      <c r="F391" s="93"/>
      <c r="G391" s="93"/>
      <c r="H391" s="93"/>
      <c r="I391" s="43" t="str">
        <f>IF(AND(A391&gt;=Dashboard!$B$2,A391&lt;EDATE(Dashboard!$B$2,1),D391&lt;&gt;""),E391,"")</f>
        <v/>
      </c>
      <c r="J391" s="43" t="str">
        <f t="shared" si="1"/>
        <v/>
      </c>
    </row>
    <row r="392" ht="15.75" customHeight="1">
      <c r="A392" s="99"/>
      <c r="B392" s="93"/>
      <c r="C392" s="93"/>
      <c r="D392" s="93"/>
      <c r="E392" s="94"/>
      <c r="F392" s="93"/>
      <c r="G392" s="93"/>
      <c r="H392" s="93"/>
      <c r="I392" s="43" t="str">
        <f>IF(AND(A392&gt;=Dashboard!$B$2,A392&lt;EDATE(Dashboard!$B$2,1),D392&lt;&gt;""),E392,"")</f>
        <v/>
      </c>
      <c r="J392" s="43" t="str">
        <f t="shared" si="1"/>
        <v/>
      </c>
    </row>
    <row r="393" ht="15.75" customHeight="1">
      <c r="A393" s="99"/>
      <c r="B393" s="93"/>
      <c r="C393" s="93"/>
      <c r="D393" s="93"/>
      <c r="E393" s="94"/>
      <c r="F393" s="93"/>
      <c r="G393" s="93"/>
      <c r="H393" s="93"/>
      <c r="I393" s="43" t="str">
        <f>IF(AND(A393&gt;=Dashboard!$B$2,A393&lt;EDATE(Dashboard!$B$2,1),D393&lt;&gt;""),E393,"")</f>
        <v/>
      </c>
      <c r="J393" s="43" t="str">
        <f t="shared" si="1"/>
        <v/>
      </c>
    </row>
    <row r="394" ht="15.75" customHeight="1">
      <c r="A394" s="99"/>
      <c r="B394" s="93"/>
      <c r="C394" s="93"/>
      <c r="D394" s="93"/>
      <c r="E394" s="94"/>
      <c r="F394" s="93"/>
      <c r="G394" s="93"/>
      <c r="H394" s="93"/>
      <c r="I394" s="43" t="str">
        <f>IF(AND(A394&gt;=Dashboard!$B$2,A394&lt;EDATE(Dashboard!$B$2,1),D394&lt;&gt;""),E394,"")</f>
        <v/>
      </c>
      <c r="J394" s="43" t="str">
        <f t="shared" si="1"/>
        <v/>
      </c>
    </row>
    <row r="395" ht="15.75" customHeight="1">
      <c r="A395" s="99"/>
      <c r="B395" s="93"/>
      <c r="C395" s="93"/>
      <c r="D395" s="93"/>
      <c r="E395" s="94"/>
      <c r="F395" s="93"/>
      <c r="G395" s="93"/>
      <c r="H395" s="93"/>
      <c r="I395" s="43" t="str">
        <f>IF(AND(A395&gt;=Dashboard!$B$2,A395&lt;EDATE(Dashboard!$B$2,1),D395&lt;&gt;""),E395,"")</f>
        <v/>
      </c>
      <c r="J395" s="43" t="str">
        <f t="shared" si="1"/>
        <v/>
      </c>
    </row>
    <row r="396" ht="15.75" customHeight="1">
      <c r="A396" s="99"/>
      <c r="B396" s="93"/>
      <c r="C396" s="93"/>
      <c r="D396" s="93"/>
      <c r="E396" s="94"/>
      <c r="F396" s="93"/>
      <c r="G396" s="93"/>
      <c r="H396" s="93"/>
      <c r="I396" s="43" t="str">
        <f>IF(AND(A396&gt;=Dashboard!$B$2,A396&lt;EDATE(Dashboard!$B$2,1),D396&lt;&gt;""),E396,"")</f>
        <v/>
      </c>
      <c r="J396" s="43" t="str">
        <f t="shared" si="1"/>
        <v/>
      </c>
    </row>
    <row r="397" ht="15.75" customHeight="1">
      <c r="A397" s="99"/>
      <c r="B397" s="93"/>
      <c r="C397" s="93"/>
      <c r="D397" s="93"/>
      <c r="E397" s="94"/>
      <c r="F397" s="93"/>
      <c r="G397" s="93"/>
      <c r="H397" s="93"/>
      <c r="I397" s="43" t="str">
        <f>IF(AND(A397&gt;=Dashboard!$B$2,A397&lt;EDATE(Dashboard!$B$2,1),D397&lt;&gt;""),E397,"")</f>
        <v/>
      </c>
      <c r="J397" s="43" t="str">
        <f t="shared" si="1"/>
        <v/>
      </c>
    </row>
    <row r="398" ht="15.75" customHeight="1">
      <c r="A398" s="99"/>
      <c r="B398" s="93"/>
      <c r="C398" s="93"/>
      <c r="D398" s="93"/>
      <c r="E398" s="94"/>
      <c r="F398" s="93"/>
      <c r="G398" s="93"/>
      <c r="H398" s="93"/>
      <c r="I398" s="43" t="str">
        <f>IF(AND(A398&gt;=Dashboard!$B$2,A398&lt;EDATE(Dashboard!$B$2,1),D398&lt;&gt;""),E398,"")</f>
        <v/>
      </c>
      <c r="J398" s="43" t="str">
        <f t="shared" si="1"/>
        <v/>
      </c>
    </row>
    <row r="399" ht="15.75" customHeight="1">
      <c r="A399" s="99"/>
      <c r="B399" s="93"/>
      <c r="C399" s="93"/>
      <c r="D399" s="93"/>
      <c r="E399" s="94"/>
      <c r="F399" s="93"/>
      <c r="G399" s="93"/>
      <c r="H399" s="93"/>
      <c r="I399" s="43" t="str">
        <f>IF(AND(A399&gt;=Dashboard!$B$2,A399&lt;EDATE(Dashboard!$B$2,1),D399&lt;&gt;""),E399,"")</f>
        <v/>
      </c>
      <c r="J399" s="43" t="str">
        <f t="shared" si="1"/>
        <v/>
      </c>
    </row>
    <row r="400" ht="15.75" customHeight="1">
      <c r="A400" s="99"/>
      <c r="B400" s="93"/>
      <c r="C400" s="93"/>
      <c r="D400" s="93"/>
      <c r="E400" s="94"/>
      <c r="F400" s="93"/>
      <c r="G400" s="93"/>
      <c r="H400" s="93"/>
      <c r="I400" s="43" t="str">
        <f>IF(AND(A400&gt;=Dashboard!$B$2,A400&lt;EDATE(Dashboard!$B$2,1),D400&lt;&gt;""),E400,"")</f>
        <v/>
      </c>
      <c r="J400" s="43" t="str">
        <f t="shared" si="1"/>
        <v/>
      </c>
    </row>
    <row r="401" ht="15.75" customHeight="1">
      <c r="A401" s="99"/>
      <c r="B401" s="93"/>
      <c r="C401" s="93"/>
      <c r="D401" s="93"/>
      <c r="E401" s="94"/>
      <c r="F401" s="93"/>
      <c r="G401" s="93"/>
      <c r="H401" s="93"/>
      <c r="I401" s="43" t="str">
        <f>IF(AND(A401&gt;=Dashboard!$B$2,A401&lt;EDATE(Dashboard!$B$2,1),D401&lt;&gt;""),E401,"")</f>
        <v/>
      </c>
      <c r="J401" s="43" t="str">
        <f t="shared" si="1"/>
        <v/>
      </c>
    </row>
    <row r="402" ht="15.75" customHeight="1">
      <c r="A402" s="99"/>
      <c r="B402" s="93"/>
      <c r="C402" s="93"/>
      <c r="D402" s="93"/>
      <c r="E402" s="94"/>
      <c r="F402" s="93"/>
      <c r="G402" s="93"/>
      <c r="H402" s="93"/>
      <c r="I402" s="43" t="str">
        <f>IF(AND(A402&gt;=Dashboard!$B$2,A402&lt;EDATE(Dashboard!$B$2,1),D402&lt;&gt;""),E402,"")</f>
        <v/>
      </c>
      <c r="J402" s="43" t="str">
        <f t="shared" si="1"/>
        <v/>
      </c>
    </row>
    <row r="403" ht="15.75" customHeight="1">
      <c r="A403" s="99"/>
      <c r="B403" s="93"/>
      <c r="C403" s="93"/>
      <c r="D403" s="93"/>
      <c r="E403" s="94"/>
      <c r="F403" s="93"/>
      <c r="G403" s="93"/>
      <c r="H403" s="93"/>
      <c r="I403" s="43" t="str">
        <f>IF(AND(A403&gt;=Dashboard!$B$2,A403&lt;EDATE(Dashboard!$B$2,1),D403&lt;&gt;""),E403,"")</f>
        <v/>
      </c>
      <c r="J403" s="43" t="str">
        <f t="shared" si="1"/>
        <v/>
      </c>
    </row>
    <row r="404" ht="15.75" customHeight="1">
      <c r="A404" s="99"/>
      <c r="B404" s="93"/>
      <c r="C404" s="93"/>
      <c r="D404" s="93"/>
      <c r="E404" s="94"/>
      <c r="F404" s="93"/>
      <c r="G404" s="93"/>
      <c r="H404" s="93"/>
      <c r="I404" s="43" t="str">
        <f>IF(AND(A404&gt;=Dashboard!$B$2,A404&lt;EDATE(Dashboard!$B$2,1),D404&lt;&gt;""),E404,"")</f>
        <v/>
      </c>
      <c r="J404" s="43" t="str">
        <f t="shared" si="1"/>
        <v/>
      </c>
    </row>
    <row r="405" ht="15.75" customHeight="1">
      <c r="A405" s="99"/>
      <c r="B405" s="93"/>
      <c r="C405" s="93"/>
      <c r="D405" s="93"/>
      <c r="E405" s="94"/>
      <c r="F405" s="93"/>
      <c r="G405" s="93"/>
      <c r="H405" s="93"/>
      <c r="I405" s="43" t="str">
        <f>IF(AND(A405&gt;=Dashboard!$B$2,A405&lt;EDATE(Dashboard!$B$2,1),D405&lt;&gt;""),E405,"")</f>
        <v/>
      </c>
      <c r="J405" s="43" t="str">
        <f t="shared" si="1"/>
        <v/>
      </c>
    </row>
    <row r="406" ht="15.75" customHeight="1">
      <c r="A406" s="99"/>
      <c r="B406" s="93"/>
      <c r="C406" s="93"/>
      <c r="D406" s="93"/>
      <c r="E406" s="94"/>
      <c r="F406" s="93"/>
      <c r="G406" s="93"/>
      <c r="H406" s="93"/>
      <c r="I406" s="43" t="str">
        <f>IF(AND(A406&gt;=Dashboard!$B$2,A406&lt;EDATE(Dashboard!$B$2,1),D406&lt;&gt;""),E406,"")</f>
        <v/>
      </c>
      <c r="J406" s="43" t="str">
        <f t="shared" si="1"/>
        <v/>
      </c>
    </row>
    <row r="407" ht="15.75" customHeight="1">
      <c r="A407" s="99"/>
      <c r="B407" s="93"/>
      <c r="C407" s="93"/>
      <c r="D407" s="93"/>
      <c r="E407" s="94"/>
      <c r="F407" s="93"/>
      <c r="G407" s="93"/>
      <c r="H407" s="93"/>
      <c r="I407" s="43" t="str">
        <f>IF(AND(A407&gt;=Dashboard!$B$2,A407&lt;EDATE(Dashboard!$B$2,1),D407&lt;&gt;""),E407,"")</f>
        <v/>
      </c>
      <c r="J407" s="43" t="str">
        <f t="shared" si="1"/>
        <v/>
      </c>
    </row>
    <row r="408" ht="15.75" customHeight="1">
      <c r="A408" s="99"/>
      <c r="B408" s="93"/>
      <c r="C408" s="93"/>
      <c r="D408" s="93"/>
      <c r="E408" s="94"/>
      <c r="F408" s="93"/>
      <c r="G408" s="93"/>
      <c r="H408" s="93"/>
      <c r="I408" s="43" t="str">
        <f>IF(AND(A408&gt;=Dashboard!$B$2,A408&lt;EDATE(Dashboard!$B$2,1),D408&lt;&gt;""),E408,"")</f>
        <v/>
      </c>
      <c r="J408" s="43" t="str">
        <f t="shared" si="1"/>
        <v/>
      </c>
    </row>
    <row r="409" ht="15.75" customHeight="1">
      <c r="A409" s="99"/>
      <c r="B409" s="93"/>
      <c r="C409" s="93"/>
      <c r="D409" s="93"/>
      <c r="E409" s="94"/>
      <c r="F409" s="93"/>
      <c r="G409" s="93"/>
      <c r="H409" s="93"/>
      <c r="I409" s="43" t="str">
        <f>IF(AND(A409&gt;=Dashboard!$B$2,A409&lt;EDATE(Dashboard!$B$2,1),D409&lt;&gt;""),E409,"")</f>
        <v/>
      </c>
      <c r="J409" s="43" t="str">
        <f t="shared" si="1"/>
        <v/>
      </c>
    </row>
    <row r="410" ht="15.75" customHeight="1">
      <c r="A410" s="99"/>
      <c r="B410" s="93"/>
      <c r="C410" s="93"/>
      <c r="D410" s="93"/>
      <c r="E410" s="94"/>
      <c r="F410" s="93"/>
      <c r="G410" s="93"/>
      <c r="H410" s="93"/>
      <c r="I410" s="43" t="str">
        <f>IF(AND(A410&gt;=Dashboard!$B$2,A410&lt;EDATE(Dashboard!$B$2,1),D410&lt;&gt;""),E410,"")</f>
        <v/>
      </c>
      <c r="J410" s="43" t="str">
        <f t="shared" si="1"/>
        <v/>
      </c>
    </row>
    <row r="411" ht="15.75" customHeight="1">
      <c r="A411" s="99"/>
      <c r="B411" s="93"/>
      <c r="C411" s="93"/>
      <c r="D411" s="93"/>
      <c r="E411" s="94"/>
      <c r="F411" s="93"/>
      <c r="G411" s="93"/>
      <c r="H411" s="93"/>
      <c r="I411" s="43" t="str">
        <f>IF(AND(A411&gt;=Dashboard!$B$2,A411&lt;EDATE(Dashboard!$B$2,1),D411&lt;&gt;""),E411,"")</f>
        <v/>
      </c>
      <c r="J411" s="43" t="str">
        <f t="shared" si="1"/>
        <v/>
      </c>
    </row>
    <row r="412" ht="15.75" customHeight="1">
      <c r="A412" s="99"/>
      <c r="B412" s="93"/>
      <c r="C412" s="93"/>
      <c r="D412" s="93"/>
      <c r="E412" s="94"/>
      <c r="F412" s="93"/>
      <c r="G412" s="93"/>
      <c r="H412" s="93"/>
      <c r="I412" s="43" t="str">
        <f>IF(AND(A412&gt;=Dashboard!$B$2,A412&lt;EDATE(Dashboard!$B$2,1),D412&lt;&gt;""),E412,"")</f>
        <v/>
      </c>
      <c r="J412" s="43" t="str">
        <f t="shared" si="1"/>
        <v/>
      </c>
    </row>
    <row r="413" ht="15.75" customHeight="1">
      <c r="A413" s="99"/>
      <c r="B413" s="93"/>
      <c r="C413" s="93"/>
      <c r="D413" s="93"/>
      <c r="E413" s="94"/>
      <c r="F413" s="93"/>
      <c r="G413" s="93"/>
      <c r="H413" s="93"/>
      <c r="I413" s="43" t="str">
        <f>IF(AND(A413&gt;=Dashboard!$B$2,A413&lt;EDATE(Dashboard!$B$2,1),D413&lt;&gt;""),E413,"")</f>
        <v/>
      </c>
      <c r="J413" s="43" t="str">
        <f t="shared" si="1"/>
        <v/>
      </c>
    </row>
    <row r="414" ht="15.75" customHeight="1">
      <c r="A414" s="99"/>
      <c r="B414" s="93"/>
      <c r="C414" s="93"/>
      <c r="D414" s="93"/>
      <c r="E414" s="94"/>
      <c r="F414" s="93"/>
      <c r="G414" s="93"/>
      <c r="H414" s="93"/>
      <c r="I414" s="43" t="str">
        <f>IF(AND(A414&gt;=Dashboard!$B$2,A414&lt;EDATE(Dashboard!$B$2,1),D414&lt;&gt;""),E414,"")</f>
        <v/>
      </c>
      <c r="J414" s="43" t="str">
        <f t="shared" si="1"/>
        <v/>
      </c>
    </row>
    <row r="415" ht="15.75" customHeight="1">
      <c r="A415" s="99"/>
      <c r="B415" s="93"/>
      <c r="C415" s="93"/>
      <c r="D415" s="93"/>
      <c r="E415" s="94"/>
      <c r="F415" s="93"/>
      <c r="G415" s="93"/>
      <c r="H415" s="93"/>
      <c r="I415" s="43" t="str">
        <f>IF(AND(A415&gt;=Dashboard!$B$2,A415&lt;EDATE(Dashboard!$B$2,1),D415&lt;&gt;""),E415,"")</f>
        <v/>
      </c>
      <c r="J415" s="43" t="str">
        <f t="shared" si="1"/>
        <v/>
      </c>
    </row>
    <row r="416" ht="15.75" customHeight="1">
      <c r="A416" s="99"/>
      <c r="B416" s="93"/>
      <c r="C416" s="93"/>
      <c r="D416" s="93"/>
      <c r="E416" s="94"/>
      <c r="F416" s="93"/>
      <c r="G416" s="93"/>
      <c r="H416" s="93"/>
      <c r="I416" s="43" t="str">
        <f>IF(AND(A416&gt;=Dashboard!$B$2,A416&lt;EDATE(Dashboard!$B$2,1),D416&lt;&gt;""),E416,"")</f>
        <v/>
      </c>
      <c r="J416" s="43" t="str">
        <f t="shared" si="1"/>
        <v/>
      </c>
    </row>
    <row r="417" ht="15.75" customHeight="1">
      <c r="A417" s="99"/>
      <c r="B417" s="93"/>
      <c r="C417" s="93"/>
      <c r="D417" s="93"/>
      <c r="E417" s="94"/>
      <c r="F417" s="93"/>
      <c r="G417" s="93"/>
      <c r="H417" s="93"/>
      <c r="I417" s="43" t="str">
        <f>IF(AND(A417&gt;=Dashboard!$B$2,A417&lt;EDATE(Dashboard!$B$2,1),D417&lt;&gt;""),E417,"")</f>
        <v/>
      </c>
      <c r="J417" s="43" t="str">
        <f t="shared" si="1"/>
        <v/>
      </c>
    </row>
    <row r="418" ht="15.75" customHeight="1">
      <c r="A418" s="99"/>
      <c r="B418" s="93"/>
      <c r="C418" s="93"/>
      <c r="D418" s="93"/>
      <c r="E418" s="94"/>
      <c r="F418" s="93"/>
      <c r="G418" s="93"/>
      <c r="H418" s="93"/>
      <c r="I418" s="43" t="str">
        <f>IF(AND(A418&gt;=Dashboard!$B$2,A418&lt;EDATE(Dashboard!$B$2,1),D418&lt;&gt;""),E418,"")</f>
        <v/>
      </c>
      <c r="J418" s="43" t="str">
        <f t="shared" si="1"/>
        <v/>
      </c>
    </row>
    <row r="419" ht="15.75" customHeight="1">
      <c r="A419" s="99"/>
      <c r="B419" s="93"/>
      <c r="C419" s="93"/>
      <c r="D419" s="93"/>
      <c r="E419" s="94"/>
      <c r="F419" s="93"/>
      <c r="G419" s="93"/>
      <c r="H419" s="93"/>
      <c r="I419" s="43" t="str">
        <f>IF(AND(A419&gt;=Dashboard!$B$2,A419&lt;EDATE(Dashboard!$B$2,1),D419&lt;&gt;""),E419,"")</f>
        <v/>
      </c>
      <c r="J419" s="43" t="str">
        <f t="shared" si="1"/>
        <v/>
      </c>
    </row>
    <row r="420" ht="15.75" customHeight="1">
      <c r="A420" s="99"/>
      <c r="B420" s="93"/>
      <c r="C420" s="93"/>
      <c r="D420" s="93"/>
      <c r="E420" s="94"/>
      <c r="F420" s="93"/>
      <c r="G420" s="93"/>
      <c r="H420" s="93"/>
      <c r="I420" s="43" t="str">
        <f>IF(AND(A420&gt;=Dashboard!$B$2,A420&lt;EDATE(Dashboard!$B$2,1),D420&lt;&gt;""),E420,"")</f>
        <v/>
      </c>
      <c r="J420" s="43" t="str">
        <f t="shared" si="1"/>
        <v/>
      </c>
    </row>
    <row r="421" ht="15.75" customHeight="1">
      <c r="A421" s="99"/>
      <c r="B421" s="93"/>
      <c r="C421" s="93"/>
      <c r="D421" s="93"/>
      <c r="E421" s="94"/>
      <c r="F421" s="93"/>
      <c r="G421" s="93"/>
      <c r="H421" s="93"/>
      <c r="I421" s="43" t="str">
        <f>IF(AND(A421&gt;=Dashboard!$B$2,A421&lt;EDATE(Dashboard!$B$2,1),D421&lt;&gt;""),E421,"")</f>
        <v/>
      </c>
      <c r="J421" s="43" t="str">
        <f t="shared" si="1"/>
        <v/>
      </c>
    </row>
    <row r="422" ht="15.75" customHeight="1">
      <c r="A422" s="99"/>
      <c r="B422" s="93"/>
      <c r="C422" s="93"/>
      <c r="D422" s="93"/>
      <c r="E422" s="94"/>
      <c r="F422" s="93"/>
      <c r="G422" s="93"/>
      <c r="H422" s="93"/>
      <c r="I422" s="43" t="str">
        <f>IF(AND(A422&gt;=Dashboard!$B$2,A422&lt;EDATE(Dashboard!$B$2,1),D422&lt;&gt;""),E422,"")</f>
        <v/>
      </c>
      <c r="J422" s="43" t="str">
        <f t="shared" si="1"/>
        <v/>
      </c>
    </row>
    <row r="423" ht="15.75" customHeight="1">
      <c r="A423" s="99"/>
      <c r="B423" s="93"/>
      <c r="C423" s="93"/>
      <c r="D423" s="93"/>
      <c r="E423" s="94"/>
      <c r="F423" s="93"/>
      <c r="G423" s="93"/>
      <c r="H423" s="93"/>
      <c r="I423" s="43" t="str">
        <f>IF(AND(A423&gt;=Dashboard!$B$2,A423&lt;EDATE(Dashboard!$B$2,1),D423&lt;&gt;""),E423,"")</f>
        <v/>
      </c>
      <c r="J423" s="43" t="str">
        <f t="shared" si="1"/>
        <v/>
      </c>
    </row>
    <row r="424" ht="15.75" customHeight="1">
      <c r="A424" s="99"/>
      <c r="B424" s="93"/>
      <c r="C424" s="93"/>
      <c r="D424" s="93"/>
      <c r="E424" s="94"/>
      <c r="F424" s="93"/>
      <c r="G424" s="93"/>
      <c r="H424" s="93"/>
      <c r="I424" s="43" t="str">
        <f>IF(AND(A424&gt;=Dashboard!$B$2,A424&lt;EDATE(Dashboard!$B$2,1),D424&lt;&gt;""),E424,"")</f>
        <v/>
      </c>
      <c r="J424" s="43" t="str">
        <f t="shared" si="1"/>
        <v/>
      </c>
    </row>
    <row r="425" ht="15.75" customHeight="1">
      <c r="A425" s="99"/>
      <c r="B425" s="93"/>
      <c r="C425" s="93"/>
      <c r="D425" s="93"/>
      <c r="E425" s="94"/>
      <c r="F425" s="93"/>
      <c r="G425" s="93"/>
      <c r="H425" s="93"/>
      <c r="I425" s="43" t="str">
        <f>IF(AND(A425&gt;=Dashboard!$B$2,A425&lt;EDATE(Dashboard!$B$2,1),D425&lt;&gt;""),E425,"")</f>
        <v/>
      </c>
      <c r="J425" s="43" t="str">
        <f t="shared" si="1"/>
        <v/>
      </c>
    </row>
    <row r="426" ht="15.75" customHeight="1">
      <c r="A426" s="99"/>
      <c r="B426" s="93"/>
      <c r="C426" s="93"/>
      <c r="D426" s="93"/>
      <c r="E426" s="94"/>
      <c r="F426" s="93"/>
      <c r="G426" s="93"/>
      <c r="H426" s="93"/>
      <c r="I426" s="43" t="str">
        <f>IF(AND(A426&gt;=Dashboard!$B$2,A426&lt;EDATE(Dashboard!$B$2,1),D426&lt;&gt;""),E426,"")</f>
        <v/>
      </c>
      <c r="J426" s="43" t="str">
        <f t="shared" si="1"/>
        <v/>
      </c>
    </row>
    <row r="427" ht="15.75" customHeight="1">
      <c r="A427" s="99"/>
      <c r="B427" s="93"/>
      <c r="C427" s="93"/>
      <c r="D427" s="93"/>
      <c r="E427" s="94"/>
      <c r="F427" s="93"/>
      <c r="G427" s="93"/>
      <c r="H427" s="93"/>
      <c r="I427" s="43" t="str">
        <f>IF(AND(A427&gt;=Dashboard!$B$2,A427&lt;EDATE(Dashboard!$B$2,1),D427&lt;&gt;""),E427,"")</f>
        <v/>
      </c>
      <c r="J427" s="43" t="str">
        <f t="shared" si="1"/>
        <v/>
      </c>
    </row>
    <row r="428" ht="15.75" customHeight="1">
      <c r="A428" s="99"/>
      <c r="B428" s="93"/>
      <c r="C428" s="93"/>
      <c r="D428" s="93"/>
      <c r="E428" s="94"/>
      <c r="F428" s="93"/>
      <c r="G428" s="93"/>
      <c r="H428" s="93"/>
      <c r="I428" s="43" t="str">
        <f>IF(AND(A428&gt;=Dashboard!$B$2,A428&lt;EDATE(Dashboard!$B$2,1),D428&lt;&gt;""),E428,"")</f>
        <v/>
      </c>
      <c r="J428" s="43" t="str">
        <f t="shared" si="1"/>
        <v/>
      </c>
    </row>
    <row r="429" ht="15.75" customHeight="1">
      <c r="A429" s="99"/>
      <c r="B429" s="93"/>
      <c r="C429" s="93"/>
      <c r="D429" s="93"/>
      <c r="E429" s="94"/>
      <c r="F429" s="93"/>
      <c r="G429" s="93"/>
      <c r="H429" s="93"/>
      <c r="I429" s="43" t="str">
        <f>IF(AND(A429&gt;=Dashboard!$B$2,A429&lt;EDATE(Dashboard!$B$2,1),D429&lt;&gt;""),E429,"")</f>
        <v/>
      </c>
      <c r="J429" s="43" t="str">
        <f t="shared" si="1"/>
        <v/>
      </c>
    </row>
    <row r="430" ht="15.75" customHeight="1">
      <c r="A430" s="99"/>
      <c r="B430" s="93"/>
      <c r="C430" s="93"/>
      <c r="D430" s="93"/>
      <c r="E430" s="94"/>
      <c r="F430" s="93"/>
      <c r="G430" s="93"/>
      <c r="H430" s="93"/>
      <c r="I430" s="43" t="str">
        <f>IF(AND(A430&gt;=Dashboard!$B$2,A430&lt;EDATE(Dashboard!$B$2,1),D430&lt;&gt;""),E430,"")</f>
        <v/>
      </c>
      <c r="J430" s="43" t="str">
        <f t="shared" si="1"/>
        <v/>
      </c>
    </row>
    <row r="431" ht="15.75" customHeight="1">
      <c r="A431" s="99"/>
      <c r="B431" s="93"/>
      <c r="C431" s="93"/>
      <c r="D431" s="93"/>
      <c r="E431" s="94"/>
      <c r="F431" s="93"/>
      <c r="G431" s="93"/>
      <c r="H431" s="93"/>
      <c r="I431" s="43" t="str">
        <f>IF(AND(A431&gt;=Dashboard!$B$2,A431&lt;EDATE(Dashboard!$B$2,1),D431&lt;&gt;""),E431,"")</f>
        <v/>
      </c>
      <c r="J431" s="43" t="str">
        <f t="shared" si="1"/>
        <v/>
      </c>
    </row>
    <row r="432" ht="15.75" customHeight="1">
      <c r="A432" s="99"/>
      <c r="B432" s="93"/>
      <c r="C432" s="93"/>
      <c r="D432" s="93"/>
      <c r="E432" s="94"/>
      <c r="F432" s="93"/>
      <c r="G432" s="93"/>
      <c r="H432" s="93"/>
      <c r="I432" s="43" t="str">
        <f>IF(AND(A432&gt;=Dashboard!$B$2,A432&lt;EDATE(Dashboard!$B$2,1),D432&lt;&gt;""),E432,"")</f>
        <v/>
      </c>
      <c r="J432" s="43" t="str">
        <f t="shared" si="1"/>
        <v/>
      </c>
    </row>
    <row r="433" ht="15.75" customHeight="1">
      <c r="A433" s="99"/>
      <c r="B433" s="93"/>
      <c r="C433" s="93"/>
      <c r="D433" s="93"/>
      <c r="E433" s="94"/>
      <c r="F433" s="93"/>
      <c r="G433" s="93"/>
      <c r="H433" s="93"/>
      <c r="I433" s="43" t="str">
        <f>IF(AND(A433&gt;=Dashboard!$B$2,A433&lt;EDATE(Dashboard!$B$2,1),D433&lt;&gt;""),E433,"")</f>
        <v/>
      </c>
      <c r="J433" s="43" t="str">
        <f t="shared" si="1"/>
        <v/>
      </c>
    </row>
    <row r="434" ht="15.75" customHeight="1">
      <c r="A434" s="99"/>
      <c r="B434" s="93"/>
      <c r="C434" s="93"/>
      <c r="D434" s="93"/>
      <c r="E434" s="94"/>
      <c r="F434" s="93"/>
      <c r="G434" s="93"/>
      <c r="H434" s="93"/>
      <c r="I434" s="43" t="str">
        <f>IF(AND(A434&gt;=Dashboard!$B$2,A434&lt;EDATE(Dashboard!$B$2,1),D434&lt;&gt;""),E434,"")</f>
        <v/>
      </c>
      <c r="J434" s="43" t="str">
        <f t="shared" si="1"/>
        <v/>
      </c>
    </row>
    <row r="435" ht="15.75" customHeight="1">
      <c r="A435" s="99"/>
      <c r="B435" s="93"/>
      <c r="C435" s="93"/>
      <c r="D435" s="93"/>
      <c r="E435" s="94"/>
      <c r="F435" s="93"/>
      <c r="G435" s="93"/>
      <c r="H435" s="93"/>
      <c r="I435" s="43" t="str">
        <f>IF(AND(A435&gt;=Dashboard!$B$2,A435&lt;EDATE(Dashboard!$B$2,1),D435&lt;&gt;""),E435,"")</f>
        <v/>
      </c>
      <c r="J435" s="43" t="str">
        <f t="shared" si="1"/>
        <v/>
      </c>
    </row>
    <row r="436" ht="15.75" customHeight="1">
      <c r="A436" s="99"/>
      <c r="B436" s="93"/>
      <c r="C436" s="93"/>
      <c r="D436" s="93"/>
      <c r="E436" s="94"/>
      <c r="F436" s="93"/>
      <c r="G436" s="93"/>
      <c r="H436" s="93"/>
      <c r="I436" s="43" t="str">
        <f>IF(AND(A436&gt;=Dashboard!$B$2,A436&lt;EDATE(Dashboard!$B$2,1),D436&lt;&gt;""),E436,"")</f>
        <v/>
      </c>
      <c r="J436" s="43" t="str">
        <f t="shared" si="1"/>
        <v/>
      </c>
    </row>
    <row r="437" ht="15.75" customHeight="1">
      <c r="A437" s="99"/>
      <c r="B437" s="93"/>
      <c r="C437" s="93"/>
      <c r="D437" s="93"/>
      <c r="E437" s="94"/>
      <c r="F437" s="93"/>
      <c r="G437" s="93"/>
      <c r="H437" s="93"/>
      <c r="I437" s="43" t="str">
        <f>IF(AND(A437&gt;=Dashboard!$B$2,A437&lt;EDATE(Dashboard!$B$2,1),D437&lt;&gt;""),E437,"")</f>
        <v/>
      </c>
      <c r="J437" s="43" t="str">
        <f t="shared" si="1"/>
        <v/>
      </c>
    </row>
    <row r="438" ht="15.75" customHeight="1">
      <c r="A438" s="99"/>
      <c r="B438" s="93"/>
      <c r="C438" s="93"/>
      <c r="D438" s="93"/>
      <c r="E438" s="94"/>
      <c r="F438" s="93"/>
      <c r="G438" s="93"/>
      <c r="H438" s="93"/>
      <c r="I438" s="43" t="str">
        <f>IF(AND(A438&gt;=Dashboard!$B$2,A438&lt;EDATE(Dashboard!$B$2,1),D438&lt;&gt;""),E438,"")</f>
        <v/>
      </c>
      <c r="J438" s="43" t="str">
        <f t="shared" si="1"/>
        <v/>
      </c>
    </row>
    <row r="439" ht="15.75" customHeight="1">
      <c r="A439" s="99"/>
      <c r="B439" s="93"/>
      <c r="C439" s="93"/>
      <c r="D439" s="93"/>
      <c r="E439" s="94"/>
      <c r="F439" s="93"/>
      <c r="G439" s="93"/>
      <c r="H439" s="93"/>
      <c r="I439" s="43" t="str">
        <f>IF(AND(A439&gt;=Dashboard!$B$2,A439&lt;EDATE(Dashboard!$B$2,1),D439&lt;&gt;""),E439,"")</f>
        <v/>
      </c>
      <c r="J439" s="43" t="str">
        <f t="shared" si="1"/>
        <v/>
      </c>
    </row>
    <row r="440" ht="15.75" customHeight="1">
      <c r="A440" s="99"/>
      <c r="B440" s="93"/>
      <c r="C440" s="93"/>
      <c r="D440" s="93"/>
      <c r="E440" s="94"/>
      <c r="F440" s="93"/>
      <c r="G440" s="93"/>
      <c r="H440" s="93"/>
      <c r="I440" s="43" t="str">
        <f>IF(AND(A440&gt;=Dashboard!$B$2,A440&lt;EDATE(Dashboard!$B$2,1),D440&lt;&gt;""),E440,"")</f>
        <v/>
      </c>
      <c r="J440" s="43" t="str">
        <f t="shared" si="1"/>
        <v/>
      </c>
    </row>
    <row r="441" ht="15.75" customHeight="1">
      <c r="A441" s="99"/>
      <c r="B441" s="93"/>
      <c r="C441" s="93"/>
      <c r="D441" s="93"/>
      <c r="E441" s="94"/>
      <c r="F441" s="93"/>
      <c r="G441" s="93"/>
      <c r="H441" s="93"/>
      <c r="I441" s="43" t="str">
        <f>IF(AND(A441&gt;=Dashboard!$B$2,A441&lt;EDATE(Dashboard!$B$2,1),D441&lt;&gt;""),E441,"")</f>
        <v/>
      </c>
      <c r="J441" s="43" t="str">
        <f t="shared" si="1"/>
        <v/>
      </c>
    </row>
    <row r="442" ht="15.75" customHeight="1">
      <c r="A442" s="99"/>
      <c r="B442" s="93"/>
      <c r="C442" s="93"/>
      <c r="D442" s="93"/>
      <c r="E442" s="94"/>
      <c r="F442" s="93"/>
      <c r="G442" s="93"/>
      <c r="H442" s="93"/>
      <c r="I442" s="43" t="str">
        <f>IF(AND(A442&gt;=Dashboard!$B$2,A442&lt;EDATE(Dashboard!$B$2,1),D442&lt;&gt;""),E442,"")</f>
        <v/>
      </c>
      <c r="J442" s="43" t="str">
        <f t="shared" si="1"/>
        <v/>
      </c>
    </row>
    <row r="443" ht="15.75" customHeight="1">
      <c r="A443" s="99"/>
      <c r="B443" s="93"/>
      <c r="C443" s="93"/>
      <c r="D443" s="93"/>
      <c r="E443" s="94"/>
      <c r="F443" s="93"/>
      <c r="G443" s="93"/>
      <c r="H443" s="93"/>
      <c r="I443" s="43" t="str">
        <f>IF(AND(A443&gt;=Dashboard!$B$2,A443&lt;EDATE(Dashboard!$B$2,1),D443&lt;&gt;""),E443,"")</f>
        <v/>
      </c>
      <c r="J443" s="43" t="str">
        <f t="shared" si="1"/>
        <v/>
      </c>
    </row>
    <row r="444" ht="15.75" customHeight="1">
      <c r="A444" s="99"/>
      <c r="B444" s="93"/>
      <c r="C444" s="93"/>
      <c r="D444" s="93"/>
      <c r="E444" s="94"/>
      <c r="F444" s="93"/>
      <c r="G444" s="93"/>
      <c r="H444" s="93"/>
      <c r="I444" s="43" t="str">
        <f>IF(AND(A444&gt;=Dashboard!$B$2,A444&lt;EDATE(Dashboard!$B$2,1),D444&lt;&gt;""),E444,"")</f>
        <v/>
      </c>
      <c r="J444" s="43" t="str">
        <f t="shared" si="1"/>
        <v/>
      </c>
    </row>
    <row r="445" ht="15.75" customHeight="1">
      <c r="A445" s="99"/>
      <c r="B445" s="93"/>
      <c r="C445" s="93"/>
      <c r="D445" s="93"/>
      <c r="E445" s="94"/>
      <c r="F445" s="93"/>
      <c r="G445" s="93"/>
      <c r="H445" s="93"/>
      <c r="I445" s="43" t="str">
        <f>IF(AND(A445&gt;=Dashboard!$B$2,A445&lt;EDATE(Dashboard!$B$2,1),D445&lt;&gt;""),E445,"")</f>
        <v/>
      </c>
      <c r="J445" s="43" t="str">
        <f t="shared" si="1"/>
        <v/>
      </c>
    </row>
    <row r="446" ht="15.75" customHeight="1">
      <c r="A446" s="99"/>
      <c r="B446" s="93"/>
      <c r="C446" s="93"/>
      <c r="D446" s="93"/>
      <c r="E446" s="94"/>
      <c r="F446" s="93"/>
      <c r="G446" s="93"/>
      <c r="H446" s="93"/>
      <c r="I446" s="43" t="str">
        <f>IF(AND(A446&gt;=Dashboard!$B$2,A446&lt;EDATE(Dashboard!$B$2,1),D446&lt;&gt;""),E446,"")</f>
        <v/>
      </c>
      <c r="J446" s="43" t="str">
        <f t="shared" si="1"/>
        <v/>
      </c>
    </row>
    <row r="447" ht="15.75" customHeight="1">
      <c r="A447" s="99"/>
      <c r="B447" s="93"/>
      <c r="C447" s="93"/>
      <c r="D447" s="93"/>
      <c r="E447" s="94"/>
      <c r="F447" s="93"/>
      <c r="G447" s="93"/>
      <c r="H447" s="93"/>
      <c r="I447" s="43" t="str">
        <f>IF(AND(A447&gt;=Dashboard!$B$2,A447&lt;EDATE(Dashboard!$B$2,1),D447&lt;&gt;""),E447,"")</f>
        <v/>
      </c>
      <c r="J447" s="43" t="str">
        <f t="shared" si="1"/>
        <v/>
      </c>
    </row>
    <row r="448" ht="15.75" customHeight="1">
      <c r="A448" s="99"/>
      <c r="B448" s="93"/>
      <c r="C448" s="93"/>
      <c r="D448" s="93"/>
      <c r="E448" s="94"/>
      <c r="F448" s="93"/>
      <c r="G448" s="93"/>
      <c r="H448" s="93"/>
      <c r="I448" s="43" t="str">
        <f>IF(AND(A448&gt;=Dashboard!$B$2,A448&lt;EDATE(Dashboard!$B$2,1),D448&lt;&gt;""),E448,"")</f>
        <v/>
      </c>
      <c r="J448" s="43" t="str">
        <f t="shared" si="1"/>
        <v/>
      </c>
    </row>
    <row r="449" ht="15.75" customHeight="1">
      <c r="A449" s="99"/>
      <c r="B449" s="93"/>
      <c r="C449" s="93"/>
      <c r="D449" s="93"/>
      <c r="E449" s="94"/>
      <c r="F449" s="93"/>
      <c r="G449" s="93"/>
      <c r="H449" s="93"/>
      <c r="I449" s="43" t="str">
        <f>IF(AND(A449&gt;=Dashboard!$B$2,A449&lt;EDATE(Dashboard!$B$2,1),D449&lt;&gt;""),E449,"")</f>
        <v/>
      </c>
      <c r="J449" s="43" t="str">
        <f t="shared" si="1"/>
        <v/>
      </c>
    </row>
    <row r="450" ht="15.75" customHeight="1">
      <c r="A450" s="99"/>
      <c r="B450" s="93"/>
      <c r="C450" s="93"/>
      <c r="D450" s="93"/>
      <c r="E450" s="94"/>
      <c r="F450" s="93"/>
      <c r="G450" s="93"/>
      <c r="H450" s="93"/>
      <c r="I450" s="43" t="str">
        <f>IF(AND(A450&gt;=Dashboard!$B$2,A450&lt;EDATE(Dashboard!$B$2,1),D450&lt;&gt;""),E450,"")</f>
        <v/>
      </c>
      <c r="J450" s="43" t="str">
        <f t="shared" si="1"/>
        <v/>
      </c>
    </row>
    <row r="451" ht="15.75" customHeight="1">
      <c r="A451" s="99"/>
      <c r="B451" s="93"/>
      <c r="C451" s="93"/>
      <c r="D451" s="93"/>
      <c r="E451" s="94"/>
      <c r="F451" s="93"/>
      <c r="G451" s="93"/>
      <c r="H451" s="93"/>
      <c r="I451" s="43" t="str">
        <f>IF(AND(A451&gt;=Dashboard!$B$2,A451&lt;EDATE(Dashboard!$B$2,1),D451&lt;&gt;""),E451,"")</f>
        <v/>
      </c>
      <c r="J451" s="43" t="str">
        <f t="shared" si="1"/>
        <v/>
      </c>
    </row>
    <row r="452" ht="15.75" customHeight="1">
      <c r="A452" s="99"/>
      <c r="B452" s="93"/>
      <c r="C452" s="93"/>
      <c r="D452" s="93"/>
      <c r="E452" s="94"/>
      <c r="F452" s="93"/>
      <c r="G452" s="93"/>
      <c r="H452" s="93"/>
      <c r="I452" s="43" t="str">
        <f>IF(AND(A452&gt;=Dashboard!$B$2,A452&lt;EDATE(Dashboard!$B$2,1),D452&lt;&gt;""),E452,"")</f>
        <v/>
      </c>
      <c r="J452" s="43" t="str">
        <f t="shared" si="1"/>
        <v/>
      </c>
    </row>
    <row r="453" ht="15.75" customHeight="1">
      <c r="A453" s="99"/>
      <c r="B453" s="93"/>
      <c r="C453" s="93"/>
      <c r="D453" s="93"/>
      <c r="E453" s="94"/>
      <c r="F453" s="93"/>
      <c r="G453" s="93"/>
      <c r="H453" s="93"/>
      <c r="I453" s="43" t="str">
        <f>IF(AND(A453&gt;=Dashboard!$B$2,A453&lt;EDATE(Dashboard!$B$2,1),D453&lt;&gt;""),E453,"")</f>
        <v/>
      </c>
      <c r="J453" s="43" t="str">
        <f t="shared" si="1"/>
        <v/>
      </c>
    </row>
    <row r="454" ht="15.75" customHeight="1">
      <c r="A454" s="99"/>
      <c r="B454" s="93"/>
      <c r="C454" s="93"/>
      <c r="D454" s="93"/>
      <c r="E454" s="94"/>
      <c r="F454" s="93"/>
      <c r="G454" s="93"/>
      <c r="H454" s="93"/>
      <c r="I454" s="43" t="str">
        <f>IF(AND(A454&gt;=Dashboard!$B$2,A454&lt;EDATE(Dashboard!$B$2,1),D454&lt;&gt;""),E454,"")</f>
        <v/>
      </c>
      <c r="J454" s="43" t="str">
        <f t="shared" si="1"/>
        <v/>
      </c>
    </row>
    <row r="455" ht="15.75" customHeight="1">
      <c r="A455" s="99"/>
      <c r="B455" s="93"/>
      <c r="C455" s="93"/>
      <c r="D455" s="93"/>
      <c r="E455" s="94"/>
      <c r="F455" s="93"/>
      <c r="G455" s="93"/>
      <c r="H455" s="93"/>
      <c r="I455" s="43" t="str">
        <f>IF(AND(A455&gt;=Dashboard!$B$2,A455&lt;EDATE(Dashboard!$B$2,1),D455&lt;&gt;""),E455,"")</f>
        <v/>
      </c>
      <c r="J455" s="43" t="str">
        <f t="shared" si="1"/>
        <v/>
      </c>
    </row>
    <row r="456" ht="15.75" customHeight="1">
      <c r="A456" s="99"/>
      <c r="B456" s="93"/>
      <c r="C456" s="93"/>
      <c r="D456" s="93"/>
      <c r="E456" s="94"/>
      <c r="F456" s="93"/>
      <c r="G456" s="93"/>
      <c r="H456" s="93"/>
      <c r="I456" s="43" t="str">
        <f>IF(AND(A456&gt;=Dashboard!$B$2,A456&lt;EDATE(Dashboard!$B$2,1),D456&lt;&gt;""),E456,"")</f>
        <v/>
      </c>
      <c r="J456" s="43" t="str">
        <f t="shared" si="1"/>
        <v/>
      </c>
    </row>
    <row r="457" ht="15.75" customHeight="1">
      <c r="A457" s="99"/>
      <c r="B457" s="93"/>
      <c r="C457" s="93"/>
      <c r="D457" s="93"/>
      <c r="E457" s="94"/>
      <c r="F457" s="93"/>
      <c r="G457" s="93"/>
      <c r="H457" s="93"/>
      <c r="I457" s="43" t="str">
        <f>IF(AND(A457&gt;=Dashboard!$B$2,A457&lt;EDATE(Dashboard!$B$2,1),D457&lt;&gt;""),E457,"")</f>
        <v/>
      </c>
      <c r="J457" s="43" t="str">
        <f t="shared" si="1"/>
        <v/>
      </c>
    </row>
    <row r="458" ht="15.75" customHeight="1">
      <c r="A458" s="99"/>
      <c r="B458" s="93"/>
      <c r="C458" s="93"/>
      <c r="D458" s="93"/>
      <c r="E458" s="94"/>
      <c r="F458" s="93"/>
      <c r="G458" s="93"/>
      <c r="H458" s="93"/>
      <c r="I458" s="43" t="str">
        <f>IF(AND(A458&gt;=Dashboard!$B$2,A458&lt;EDATE(Dashboard!$B$2,1),D458&lt;&gt;""),E458,"")</f>
        <v/>
      </c>
      <c r="J458" s="43" t="str">
        <f t="shared" si="1"/>
        <v/>
      </c>
    </row>
    <row r="459" ht="15.75" customHeight="1">
      <c r="A459" s="99"/>
      <c r="B459" s="93"/>
      <c r="C459" s="93"/>
      <c r="D459" s="93"/>
      <c r="E459" s="94"/>
      <c r="F459" s="93"/>
      <c r="G459" s="93"/>
      <c r="H459" s="93"/>
      <c r="I459" s="43" t="str">
        <f>IF(AND(A459&gt;=Dashboard!$B$2,A459&lt;EDATE(Dashboard!$B$2,1),D459&lt;&gt;""),E459,"")</f>
        <v/>
      </c>
      <c r="J459" s="43" t="str">
        <f t="shared" si="1"/>
        <v/>
      </c>
    </row>
    <row r="460" ht="15.75" customHeight="1">
      <c r="A460" s="99"/>
      <c r="B460" s="93"/>
      <c r="C460" s="93"/>
      <c r="D460" s="93"/>
      <c r="E460" s="94"/>
      <c r="F460" s="93"/>
      <c r="G460" s="93"/>
      <c r="H460" s="93"/>
      <c r="I460" s="43" t="str">
        <f>IF(AND(A460&gt;=Dashboard!$B$2,A460&lt;EDATE(Dashboard!$B$2,1),D460&lt;&gt;""),E460,"")</f>
        <v/>
      </c>
      <c r="J460" s="43" t="str">
        <f t="shared" si="1"/>
        <v/>
      </c>
    </row>
    <row r="461" ht="15.75" customHeight="1">
      <c r="A461" s="99"/>
      <c r="B461" s="93"/>
      <c r="C461" s="93"/>
      <c r="D461" s="93"/>
      <c r="E461" s="94"/>
      <c r="F461" s="93"/>
      <c r="G461" s="93"/>
      <c r="H461" s="93"/>
      <c r="I461" s="43" t="str">
        <f>IF(AND(A461&gt;=Dashboard!$B$2,A461&lt;EDATE(Dashboard!$B$2,1),D461&lt;&gt;""),E461,"")</f>
        <v/>
      </c>
      <c r="J461" s="43" t="str">
        <f t="shared" si="1"/>
        <v/>
      </c>
    </row>
    <row r="462" ht="15.75" customHeight="1">
      <c r="A462" s="99"/>
      <c r="B462" s="93"/>
      <c r="C462" s="93"/>
      <c r="D462" s="93"/>
      <c r="E462" s="94"/>
      <c r="F462" s="93"/>
      <c r="G462" s="93"/>
      <c r="H462" s="93"/>
      <c r="I462" s="43" t="str">
        <f>IF(AND(A462&gt;=Dashboard!$B$2,A462&lt;EDATE(Dashboard!$B$2,1),D462&lt;&gt;""),E462,"")</f>
        <v/>
      </c>
      <c r="J462" s="43" t="str">
        <f t="shared" si="1"/>
        <v/>
      </c>
    </row>
    <row r="463" ht="15.75" customHeight="1">
      <c r="A463" s="99"/>
      <c r="B463" s="93"/>
      <c r="C463" s="93"/>
      <c r="D463" s="93"/>
      <c r="E463" s="94"/>
      <c r="F463" s="93"/>
      <c r="G463" s="93"/>
      <c r="H463" s="93"/>
      <c r="I463" s="43" t="str">
        <f>IF(AND(A463&gt;=Dashboard!$B$2,A463&lt;EDATE(Dashboard!$B$2,1),D463&lt;&gt;""),E463,"")</f>
        <v/>
      </c>
      <c r="J463" s="43" t="str">
        <f t="shared" si="1"/>
        <v/>
      </c>
    </row>
    <row r="464" ht="15.75" customHeight="1">
      <c r="A464" s="99"/>
      <c r="B464" s="93"/>
      <c r="C464" s="93"/>
      <c r="D464" s="93"/>
      <c r="E464" s="94"/>
      <c r="F464" s="93"/>
      <c r="G464" s="93"/>
      <c r="H464" s="93"/>
      <c r="I464" s="43" t="str">
        <f>IF(AND(A464&gt;=Dashboard!$B$2,A464&lt;EDATE(Dashboard!$B$2,1),D464&lt;&gt;""),E464,"")</f>
        <v/>
      </c>
      <c r="J464" s="43" t="str">
        <f t="shared" si="1"/>
        <v/>
      </c>
    </row>
    <row r="465" ht="15.75" customHeight="1">
      <c r="A465" s="99"/>
      <c r="B465" s="93"/>
      <c r="C465" s="93"/>
      <c r="D465" s="93"/>
      <c r="E465" s="94"/>
      <c r="F465" s="93"/>
      <c r="G465" s="93"/>
      <c r="H465" s="93"/>
      <c r="I465" s="43" t="str">
        <f>IF(AND(A465&gt;=Dashboard!$B$2,A465&lt;EDATE(Dashboard!$B$2,1),D465&lt;&gt;""),E465,"")</f>
        <v/>
      </c>
      <c r="J465" s="43" t="str">
        <f t="shared" si="1"/>
        <v/>
      </c>
    </row>
    <row r="466" ht="15.75" customHeight="1">
      <c r="A466" s="99"/>
      <c r="B466" s="93"/>
      <c r="C466" s="93"/>
      <c r="D466" s="93"/>
      <c r="E466" s="94"/>
      <c r="F466" s="93"/>
      <c r="G466" s="93"/>
      <c r="H466" s="93"/>
      <c r="I466" s="43" t="str">
        <f>IF(AND(A466&gt;=Dashboard!$B$2,A466&lt;EDATE(Dashboard!$B$2,1),D466&lt;&gt;""),E466,"")</f>
        <v/>
      </c>
      <c r="J466" s="43" t="str">
        <f t="shared" si="1"/>
        <v/>
      </c>
    </row>
    <row r="467" ht="15.75" customHeight="1">
      <c r="A467" s="99"/>
      <c r="B467" s="93"/>
      <c r="C467" s="93"/>
      <c r="D467" s="93"/>
      <c r="E467" s="94"/>
      <c r="F467" s="93"/>
      <c r="G467" s="93"/>
      <c r="H467" s="93"/>
      <c r="I467" s="43" t="str">
        <f>IF(AND(A467&gt;=Dashboard!$B$2,A467&lt;EDATE(Dashboard!$B$2,1),D467&lt;&gt;""),E467,"")</f>
        <v/>
      </c>
      <c r="J467" s="43" t="str">
        <f t="shared" si="1"/>
        <v/>
      </c>
    </row>
    <row r="468" ht="15.75" customHeight="1">
      <c r="A468" s="99"/>
      <c r="B468" s="93"/>
      <c r="C468" s="93"/>
      <c r="D468" s="93"/>
      <c r="E468" s="94"/>
      <c r="F468" s="93"/>
      <c r="G468" s="93"/>
      <c r="H468" s="93"/>
      <c r="I468" s="43" t="str">
        <f>IF(AND(A468&gt;=Dashboard!$B$2,A468&lt;EDATE(Dashboard!$B$2,1),D468&lt;&gt;""),E468,"")</f>
        <v/>
      </c>
      <c r="J468" s="43" t="str">
        <f t="shared" si="1"/>
        <v/>
      </c>
    </row>
    <row r="469" ht="15.75" customHeight="1">
      <c r="A469" s="99"/>
      <c r="B469" s="93"/>
      <c r="C469" s="93"/>
      <c r="D469" s="93"/>
      <c r="E469" s="94"/>
      <c r="F469" s="93"/>
      <c r="G469" s="93"/>
      <c r="H469" s="93"/>
      <c r="I469" s="43" t="str">
        <f>IF(AND(A469&gt;=Dashboard!$B$2,A469&lt;EDATE(Dashboard!$B$2,1),D469&lt;&gt;""),E469,"")</f>
        <v/>
      </c>
      <c r="J469" s="43" t="str">
        <f t="shared" si="1"/>
        <v/>
      </c>
    </row>
    <row r="470" ht="15.75" customHeight="1">
      <c r="A470" s="99"/>
      <c r="B470" s="93"/>
      <c r="C470" s="93"/>
      <c r="D470" s="93"/>
      <c r="E470" s="94"/>
      <c r="F470" s="93"/>
      <c r="G470" s="93"/>
      <c r="H470" s="93"/>
      <c r="I470" s="43" t="str">
        <f>IF(AND(A470&gt;=Dashboard!$B$2,A470&lt;EDATE(Dashboard!$B$2,1),D470&lt;&gt;""),E470,"")</f>
        <v/>
      </c>
      <c r="J470" s="43" t="str">
        <f t="shared" si="1"/>
        <v/>
      </c>
    </row>
    <row r="471" ht="15.75" customHeight="1">
      <c r="A471" s="99"/>
      <c r="B471" s="93"/>
      <c r="C471" s="93"/>
      <c r="D471" s="93"/>
      <c r="E471" s="94"/>
      <c r="F471" s="93"/>
      <c r="G471" s="93"/>
      <c r="H471" s="93"/>
      <c r="I471" s="43" t="str">
        <f>IF(AND(A471&gt;=Dashboard!$B$2,A471&lt;EDATE(Dashboard!$B$2,1),D471&lt;&gt;""),E471,"")</f>
        <v/>
      </c>
      <c r="J471" s="43" t="str">
        <f t="shared" si="1"/>
        <v/>
      </c>
    </row>
    <row r="472" ht="15.75" customHeight="1">
      <c r="A472" s="99"/>
      <c r="B472" s="93"/>
      <c r="C472" s="93"/>
      <c r="D472" s="93"/>
      <c r="E472" s="94"/>
      <c r="F472" s="93"/>
      <c r="G472" s="93"/>
      <c r="H472" s="93"/>
      <c r="I472" s="43" t="str">
        <f>IF(AND(A472&gt;=Dashboard!$B$2,A472&lt;EDATE(Dashboard!$B$2,1),D472&lt;&gt;""),E472,"")</f>
        <v/>
      </c>
      <c r="J472" s="43" t="str">
        <f t="shared" si="1"/>
        <v/>
      </c>
    </row>
    <row r="473" ht="15.75" customHeight="1">
      <c r="A473" s="99"/>
      <c r="B473" s="93"/>
      <c r="C473" s="93"/>
      <c r="D473" s="93"/>
      <c r="E473" s="94"/>
      <c r="F473" s="93"/>
      <c r="G473" s="93"/>
      <c r="H473" s="93"/>
      <c r="I473" s="43" t="str">
        <f>IF(AND(A473&gt;=Dashboard!$B$2,A473&lt;EDATE(Dashboard!$B$2,1),D473&lt;&gt;""),E473,"")</f>
        <v/>
      </c>
      <c r="J473" s="43" t="str">
        <f t="shared" si="1"/>
        <v/>
      </c>
    </row>
    <row r="474" ht="15.75" customHeight="1">
      <c r="A474" s="99"/>
      <c r="B474" s="93"/>
      <c r="C474" s="93"/>
      <c r="D474" s="93"/>
      <c r="E474" s="94"/>
      <c r="F474" s="93"/>
      <c r="G474" s="93"/>
      <c r="H474" s="93"/>
      <c r="I474" s="43" t="str">
        <f>IF(AND(A474&gt;=Dashboard!$B$2,A474&lt;EDATE(Dashboard!$B$2,1),D474&lt;&gt;""),E474,"")</f>
        <v/>
      </c>
      <c r="J474" s="43" t="str">
        <f t="shared" si="1"/>
        <v/>
      </c>
    </row>
    <row r="475" ht="15.75" customHeight="1">
      <c r="A475" s="99"/>
      <c r="B475" s="93"/>
      <c r="C475" s="93"/>
      <c r="D475" s="93"/>
      <c r="E475" s="94"/>
      <c r="F475" s="93"/>
      <c r="G475" s="93"/>
      <c r="H475" s="93"/>
      <c r="I475" s="43" t="str">
        <f>IF(AND(A475&gt;=Dashboard!$B$2,A475&lt;EDATE(Dashboard!$B$2,1),D475&lt;&gt;""),E475,"")</f>
        <v/>
      </c>
      <c r="J475" s="43" t="str">
        <f t="shared" si="1"/>
        <v/>
      </c>
    </row>
    <row r="476" ht="15.75" customHeight="1">
      <c r="A476" s="99"/>
      <c r="B476" s="93"/>
      <c r="C476" s="93"/>
      <c r="D476" s="93"/>
      <c r="E476" s="94"/>
      <c r="F476" s="93"/>
      <c r="G476" s="93"/>
      <c r="H476" s="93"/>
      <c r="I476" s="43" t="str">
        <f>IF(AND(A476&gt;=Dashboard!$B$2,A476&lt;EDATE(Dashboard!$B$2,1),D476&lt;&gt;""),E476,"")</f>
        <v/>
      </c>
      <c r="J476" s="43" t="str">
        <f t="shared" si="1"/>
        <v/>
      </c>
    </row>
    <row r="477" ht="15.75" customHeight="1">
      <c r="A477" s="99"/>
      <c r="B477" s="93"/>
      <c r="C477" s="93"/>
      <c r="D477" s="93"/>
      <c r="E477" s="94"/>
      <c r="F477" s="93"/>
      <c r="G477" s="93"/>
      <c r="H477" s="93"/>
      <c r="I477" s="43" t="str">
        <f>IF(AND(A477&gt;=Dashboard!$B$2,A477&lt;EDATE(Dashboard!$B$2,1),D477&lt;&gt;""),E477,"")</f>
        <v/>
      </c>
      <c r="J477" s="43" t="str">
        <f t="shared" si="1"/>
        <v/>
      </c>
    </row>
    <row r="478" ht="15.75" customHeight="1">
      <c r="A478" s="99"/>
      <c r="B478" s="93"/>
      <c r="C478" s="93"/>
      <c r="D478" s="93"/>
      <c r="E478" s="94"/>
      <c r="F478" s="93"/>
      <c r="G478" s="93"/>
      <c r="H478" s="93"/>
      <c r="I478" s="43" t="str">
        <f>IF(AND(A478&gt;=Dashboard!$B$2,A478&lt;EDATE(Dashboard!$B$2,1),D478&lt;&gt;""),E478,"")</f>
        <v/>
      </c>
      <c r="J478" s="43" t="str">
        <f t="shared" si="1"/>
        <v/>
      </c>
    </row>
    <row r="479" ht="15.75" customHeight="1">
      <c r="A479" s="99"/>
      <c r="B479" s="93"/>
      <c r="C479" s="93"/>
      <c r="D479" s="93"/>
      <c r="E479" s="94"/>
      <c r="F479" s="93"/>
      <c r="G479" s="93"/>
      <c r="H479" s="93"/>
      <c r="I479" s="43" t="str">
        <f>IF(AND(A479&gt;=Dashboard!$B$2,A479&lt;EDATE(Dashboard!$B$2,1),D479&lt;&gt;""),E479,"")</f>
        <v/>
      </c>
      <c r="J479" s="43" t="str">
        <f t="shared" si="1"/>
        <v/>
      </c>
    </row>
    <row r="480" ht="15.75" customHeight="1">
      <c r="A480" s="99"/>
      <c r="B480" s="93"/>
      <c r="C480" s="93"/>
      <c r="D480" s="93"/>
      <c r="E480" s="94"/>
      <c r="F480" s="93"/>
      <c r="G480" s="93"/>
      <c r="H480" s="93"/>
      <c r="I480" s="43" t="str">
        <f>IF(AND(A480&gt;=Dashboard!$B$2,A480&lt;EDATE(Dashboard!$B$2,1),D480&lt;&gt;""),E480,"")</f>
        <v/>
      </c>
      <c r="J480" s="43" t="str">
        <f t="shared" si="1"/>
        <v/>
      </c>
    </row>
    <row r="481" ht="15.75" customHeight="1">
      <c r="A481" s="99"/>
      <c r="B481" s="93"/>
      <c r="C481" s="93"/>
      <c r="D481" s="93"/>
      <c r="E481" s="94"/>
      <c r="F481" s="93"/>
      <c r="G481" s="93"/>
      <c r="H481" s="93"/>
      <c r="I481" s="43" t="str">
        <f>IF(AND(A481&gt;=Dashboard!$B$2,A481&lt;EDATE(Dashboard!$B$2,1),D481&lt;&gt;""),E481,"")</f>
        <v/>
      </c>
      <c r="J481" s="43" t="str">
        <f t="shared" si="1"/>
        <v/>
      </c>
    </row>
    <row r="482" ht="15.75" customHeight="1">
      <c r="A482" s="99"/>
      <c r="B482" s="93"/>
      <c r="C482" s="93"/>
      <c r="D482" s="93"/>
      <c r="E482" s="94"/>
      <c r="F482" s="93"/>
      <c r="G482" s="93"/>
      <c r="H482" s="93"/>
      <c r="I482" s="43" t="str">
        <f>IF(AND(A482&gt;=Dashboard!$B$2,A482&lt;EDATE(Dashboard!$B$2,1),D482&lt;&gt;""),E482,"")</f>
        <v/>
      </c>
      <c r="J482" s="43" t="str">
        <f t="shared" si="1"/>
        <v/>
      </c>
    </row>
    <row r="483" ht="15.75" customHeight="1">
      <c r="A483" s="99"/>
      <c r="B483" s="93"/>
      <c r="C483" s="93"/>
      <c r="D483" s="93"/>
      <c r="E483" s="94"/>
      <c r="F483" s="93"/>
      <c r="G483" s="93"/>
      <c r="H483" s="93"/>
      <c r="I483" s="43" t="str">
        <f>IF(AND(A483&gt;=Dashboard!$B$2,A483&lt;EDATE(Dashboard!$B$2,1),D483&lt;&gt;""),E483,"")</f>
        <v/>
      </c>
      <c r="J483" s="43" t="str">
        <f t="shared" si="1"/>
        <v/>
      </c>
    </row>
    <row r="484" ht="15.75" customHeight="1">
      <c r="A484" s="99"/>
      <c r="B484" s="93"/>
      <c r="C484" s="93"/>
      <c r="D484" s="93"/>
      <c r="E484" s="94"/>
      <c r="F484" s="93"/>
      <c r="G484" s="93"/>
      <c r="H484" s="93"/>
      <c r="I484" s="43" t="str">
        <f>IF(AND(A484&gt;=Dashboard!$B$2,A484&lt;EDATE(Dashboard!$B$2,1),D484&lt;&gt;""),E484,"")</f>
        <v/>
      </c>
      <c r="J484" s="43" t="str">
        <f t="shared" si="1"/>
        <v/>
      </c>
    </row>
    <row r="485" ht="15.75" customHeight="1">
      <c r="A485" s="99"/>
      <c r="B485" s="93"/>
      <c r="C485" s="93"/>
      <c r="D485" s="93"/>
      <c r="E485" s="94"/>
      <c r="F485" s="93"/>
      <c r="G485" s="93"/>
      <c r="H485" s="93"/>
      <c r="I485" s="43" t="str">
        <f>IF(AND(A485&gt;=Dashboard!$B$2,A485&lt;EDATE(Dashboard!$B$2,1),D485&lt;&gt;""),E485,"")</f>
        <v/>
      </c>
      <c r="J485" s="43" t="str">
        <f t="shared" si="1"/>
        <v/>
      </c>
    </row>
    <row r="486" ht="15.75" customHeight="1">
      <c r="A486" s="99"/>
      <c r="B486" s="93"/>
      <c r="C486" s="93"/>
      <c r="D486" s="93"/>
      <c r="E486" s="94"/>
      <c r="F486" s="93"/>
      <c r="G486" s="93"/>
      <c r="H486" s="93"/>
      <c r="I486" s="43" t="str">
        <f>IF(AND(A486&gt;=Dashboard!$B$2,A486&lt;EDATE(Dashboard!$B$2,1),D486&lt;&gt;""),E486,"")</f>
        <v/>
      </c>
      <c r="J486" s="43" t="str">
        <f t="shared" si="1"/>
        <v/>
      </c>
    </row>
    <row r="487" ht="15.75" customHeight="1">
      <c r="A487" s="99"/>
      <c r="B487" s="93"/>
      <c r="C487" s="93"/>
      <c r="D487" s="93"/>
      <c r="E487" s="94"/>
      <c r="F487" s="93"/>
      <c r="G487" s="93"/>
      <c r="H487" s="93"/>
      <c r="I487" s="43" t="str">
        <f>IF(AND(A487&gt;=Dashboard!$B$2,A487&lt;EDATE(Dashboard!$B$2,1),D487&lt;&gt;""),E487,"")</f>
        <v/>
      </c>
      <c r="J487" s="43" t="str">
        <f t="shared" si="1"/>
        <v/>
      </c>
    </row>
    <row r="488" ht="15.75" customHeight="1">
      <c r="A488" s="99"/>
      <c r="B488" s="93"/>
      <c r="C488" s="93"/>
      <c r="D488" s="93"/>
      <c r="E488" s="94"/>
      <c r="F488" s="93"/>
      <c r="G488" s="93"/>
      <c r="H488" s="93"/>
      <c r="I488" s="43" t="str">
        <f>IF(AND(A488&gt;=Dashboard!$B$2,A488&lt;EDATE(Dashboard!$B$2,1),D488&lt;&gt;""),E488,"")</f>
        <v/>
      </c>
      <c r="J488" s="43" t="str">
        <f t="shared" si="1"/>
        <v/>
      </c>
    </row>
    <row r="489" ht="15.75" customHeight="1">
      <c r="A489" s="99"/>
      <c r="B489" s="93"/>
      <c r="C489" s="93"/>
      <c r="D489" s="93"/>
      <c r="E489" s="94"/>
      <c r="F489" s="93"/>
      <c r="G489" s="93"/>
      <c r="H489" s="93"/>
      <c r="I489" s="43" t="str">
        <f>IF(AND(A489&gt;=Dashboard!$B$2,A489&lt;EDATE(Dashboard!$B$2,1),D489&lt;&gt;""),E489,"")</f>
        <v/>
      </c>
      <c r="J489" s="43" t="str">
        <f t="shared" si="1"/>
        <v/>
      </c>
    </row>
    <row r="490" ht="15.75" customHeight="1">
      <c r="A490" s="99"/>
      <c r="B490" s="93"/>
      <c r="C490" s="93"/>
      <c r="D490" s="93"/>
      <c r="E490" s="94"/>
      <c r="F490" s="93"/>
      <c r="G490" s="93"/>
      <c r="H490" s="93"/>
      <c r="I490" s="43" t="str">
        <f>IF(AND(A490&gt;=Dashboard!$B$2,A490&lt;EDATE(Dashboard!$B$2,1),D490&lt;&gt;""),E490,"")</f>
        <v/>
      </c>
      <c r="J490" s="43" t="str">
        <f t="shared" si="1"/>
        <v/>
      </c>
    </row>
    <row r="491" ht="15.75" customHeight="1">
      <c r="A491" s="99"/>
      <c r="B491" s="93"/>
      <c r="C491" s="93"/>
      <c r="D491" s="93"/>
      <c r="E491" s="94"/>
      <c r="F491" s="93"/>
      <c r="G491" s="93"/>
      <c r="H491" s="93"/>
      <c r="I491" s="43" t="str">
        <f>IF(AND(A491&gt;=Dashboard!$B$2,A491&lt;EDATE(Dashboard!$B$2,1),D491&lt;&gt;""),E491,"")</f>
        <v/>
      </c>
      <c r="J491" s="43" t="str">
        <f t="shared" si="1"/>
        <v/>
      </c>
    </row>
    <row r="492" ht="15.75" customHeight="1">
      <c r="A492" s="99"/>
      <c r="B492" s="93"/>
      <c r="C492" s="93"/>
      <c r="D492" s="93"/>
      <c r="E492" s="94"/>
      <c r="F492" s="93"/>
      <c r="G492" s="93"/>
      <c r="H492" s="93"/>
      <c r="I492" s="43" t="str">
        <f>IF(AND(A492&gt;=Dashboard!$B$2,A492&lt;EDATE(Dashboard!$B$2,1),D492&lt;&gt;""),E492,"")</f>
        <v/>
      </c>
      <c r="J492" s="43" t="str">
        <f t="shared" si="1"/>
        <v/>
      </c>
    </row>
    <row r="493" ht="15.75" customHeight="1">
      <c r="A493" s="99"/>
      <c r="B493" s="93"/>
      <c r="C493" s="93"/>
      <c r="D493" s="93"/>
      <c r="E493" s="94"/>
      <c r="F493" s="93"/>
      <c r="G493" s="93"/>
      <c r="H493" s="93"/>
      <c r="I493" s="43" t="str">
        <f>IF(AND(A493&gt;=Dashboard!$B$2,A493&lt;EDATE(Dashboard!$B$2,1),D493&lt;&gt;""),E493,"")</f>
        <v/>
      </c>
      <c r="J493" s="43" t="str">
        <f t="shared" si="1"/>
        <v/>
      </c>
    </row>
    <row r="494" ht="15.75" customHeight="1">
      <c r="A494" s="99"/>
      <c r="B494" s="93"/>
      <c r="C494" s="93"/>
      <c r="D494" s="93"/>
      <c r="E494" s="94"/>
      <c r="F494" s="93"/>
      <c r="G494" s="93"/>
      <c r="H494" s="93"/>
      <c r="I494" s="43" t="str">
        <f>IF(AND(A494&gt;=Dashboard!$B$2,A494&lt;EDATE(Dashboard!$B$2,1),D494&lt;&gt;""),E494,"")</f>
        <v/>
      </c>
      <c r="J494" s="43" t="str">
        <f t="shared" si="1"/>
        <v/>
      </c>
    </row>
    <row r="495" ht="15.75" customHeight="1">
      <c r="A495" s="99"/>
      <c r="B495" s="93"/>
      <c r="C495" s="93"/>
      <c r="D495" s="93"/>
      <c r="E495" s="94"/>
      <c r="F495" s="93"/>
      <c r="G495" s="93"/>
      <c r="H495" s="93"/>
      <c r="I495" s="43" t="str">
        <f>IF(AND(A495&gt;=Dashboard!$B$2,A495&lt;EDATE(Dashboard!$B$2,1),D495&lt;&gt;""),E495,"")</f>
        <v/>
      </c>
      <c r="J495" s="43" t="str">
        <f t="shared" si="1"/>
        <v/>
      </c>
    </row>
    <row r="496" ht="15.75" customHeight="1">
      <c r="A496" s="99"/>
      <c r="B496" s="93"/>
      <c r="C496" s="93"/>
      <c r="D496" s="93"/>
      <c r="E496" s="94"/>
      <c r="F496" s="93"/>
      <c r="G496" s="93"/>
      <c r="H496" s="93"/>
      <c r="I496" s="43" t="str">
        <f>IF(AND(A496&gt;=Dashboard!$B$2,A496&lt;EDATE(Dashboard!$B$2,1),D496&lt;&gt;""),E496,"")</f>
        <v/>
      </c>
      <c r="J496" s="43" t="str">
        <f t="shared" si="1"/>
        <v/>
      </c>
    </row>
    <row r="497" ht="15.75" customHeight="1">
      <c r="A497" s="99"/>
      <c r="B497" s="93"/>
      <c r="C497" s="93"/>
      <c r="D497" s="93"/>
      <c r="E497" s="94"/>
      <c r="F497" s="93"/>
      <c r="G497" s="93"/>
      <c r="H497" s="93"/>
      <c r="I497" s="43" t="str">
        <f>IF(AND(A497&gt;=Dashboard!$B$2,A497&lt;EDATE(Dashboard!$B$2,1),D497&lt;&gt;""),E497,"")</f>
        <v/>
      </c>
      <c r="J497" s="43" t="str">
        <f t="shared" si="1"/>
        <v/>
      </c>
    </row>
    <row r="498" ht="15.75" customHeight="1">
      <c r="A498" s="99"/>
      <c r="B498" s="93"/>
      <c r="C498" s="93"/>
      <c r="D498" s="93"/>
      <c r="E498" s="94"/>
      <c r="F498" s="93"/>
      <c r="G498" s="93"/>
      <c r="H498" s="93"/>
      <c r="I498" s="43" t="str">
        <f>IF(AND(A498&gt;=Dashboard!$B$2,A498&lt;EDATE(Dashboard!$B$2,1),D498&lt;&gt;""),E498,"")</f>
        <v/>
      </c>
      <c r="J498" s="43" t="str">
        <f t="shared" si="1"/>
        <v/>
      </c>
    </row>
    <row r="499" ht="15.75" customHeight="1">
      <c r="A499" s="99"/>
      <c r="B499" s="93"/>
      <c r="C499" s="93"/>
      <c r="D499" s="93"/>
      <c r="E499" s="94"/>
      <c r="F499" s="93"/>
      <c r="G499" s="93"/>
      <c r="H499" s="93"/>
      <c r="I499" s="43" t="str">
        <f>IF(AND(A499&gt;=Dashboard!$B$2,A499&lt;EDATE(Dashboard!$B$2,1),D499&lt;&gt;""),E499,"")</f>
        <v/>
      </c>
      <c r="J499" s="43" t="str">
        <f t="shared" si="1"/>
        <v/>
      </c>
    </row>
    <row r="500" ht="15.75" customHeight="1">
      <c r="A500" s="99"/>
      <c r="B500" s="93"/>
      <c r="C500" s="93"/>
      <c r="D500" s="93"/>
      <c r="E500" s="94"/>
      <c r="F500" s="93"/>
      <c r="G500" s="93"/>
      <c r="H500" s="93"/>
      <c r="I500" s="43" t="str">
        <f>IF(AND(A500&gt;=Dashboard!$B$2,A500&lt;EDATE(Dashboard!$B$2,1),D500&lt;&gt;""),E500,"")</f>
        <v/>
      </c>
      <c r="J500" s="43" t="str">
        <f t="shared" si="1"/>
        <v/>
      </c>
    </row>
    <row r="501" ht="15.75" customHeight="1">
      <c r="A501" s="99"/>
      <c r="B501" s="93"/>
      <c r="C501" s="93"/>
      <c r="D501" s="93"/>
      <c r="E501" s="94"/>
      <c r="F501" s="93"/>
      <c r="G501" s="93"/>
      <c r="H501" s="93"/>
      <c r="I501" s="43" t="str">
        <f>IF(AND(A501&gt;=Dashboard!$B$2,A501&lt;EDATE(Dashboard!$B$2,1),D501&lt;&gt;""),E501,"")</f>
        <v/>
      </c>
      <c r="J501" s="43" t="str">
        <f t="shared" si="1"/>
        <v/>
      </c>
    </row>
    <row r="502" ht="15.75" customHeight="1">
      <c r="A502" s="99"/>
      <c r="B502" s="93"/>
      <c r="C502" s="93"/>
      <c r="D502" s="93"/>
      <c r="E502" s="94"/>
      <c r="F502" s="93"/>
      <c r="G502" s="93"/>
      <c r="H502" s="93"/>
      <c r="I502" s="43" t="str">
        <f>IF(AND(A502&gt;=Dashboard!$B$2,A502&lt;EDATE(Dashboard!$B$2,1),D502&lt;&gt;""),E502,"")</f>
        <v/>
      </c>
      <c r="J502" s="43" t="str">
        <f t="shared" si="1"/>
        <v/>
      </c>
    </row>
    <row r="503" ht="15.75" customHeight="1">
      <c r="A503" s="99"/>
      <c r="B503" s="93"/>
      <c r="C503" s="93"/>
      <c r="D503" s="93"/>
      <c r="E503" s="94"/>
      <c r="F503" s="93"/>
      <c r="G503" s="93"/>
      <c r="H503" s="93"/>
      <c r="I503" s="43" t="str">
        <f>IF(AND(A503&gt;=Dashboard!$B$2,A503&lt;EDATE(Dashboard!$B$2,1),D503&lt;&gt;""),E503,"")</f>
        <v/>
      </c>
      <c r="J503" s="43" t="str">
        <f t="shared" si="1"/>
        <v/>
      </c>
    </row>
    <row r="504" ht="15.75" customHeight="1">
      <c r="A504" s="99"/>
      <c r="B504" s="93"/>
      <c r="C504" s="93"/>
      <c r="D504" s="93"/>
      <c r="E504" s="94"/>
      <c r="F504" s="93"/>
      <c r="G504" s="93"/>
      <c r="H504" s="93"/>
      <c r="I504" s="43" t="str">
        <f>IF(AND(A504&gt;=Dashboard!$B$2,A504&lt;EDATE(Dashboard!$B$2,1),D504&lt;&gt;""),E504,"")</f>
        <v/>
      </c>
      <c r="J504" s="43" t="str">
        <f t="shared" si="1"/>
        <v/>
      </c>
    </row>
    <row r="505" ht="15.75" customHeight="1">
      <c r="A505" s="99"/>
      <c r="B505" s="93"/>
      <c r="C505" s="93"/>
      <c r="D505" s="93"/>
      <c r="E505" s="94"/>
      <c r="F505" s="93"/>
      <c r="G505" s="93"/>
      <c r="H505" s="93"/>
      <c r="I505" s="43" t="str">
        <f>IF(AND(A505&gt;=Dashboard!$B$2,A505&lt;EDATE(Dashboard!$B$2,1),D505&lt;&gt;""),E505,"")</f>
        <v/>
      </c>
      <c r="J505" s="43" t="str">
        <f t="shared" si="1"/>
        <v/>
      </c>
    </row>
    <row r="506" ht="15.75" customHeight="1">
      <c r="A506" s="99"/>
      <c r="B506" s="93"/>
      <c r="C506" s="93"/>
      <c r="D506" s="93"/>
      <c r="E506" s="94"/>
      <c r="F506" s="93"/>
      <c r="G506" s="93"/>
      <c r="H506" s="93"/>
      <c r="I506" s="43" t="str">
        <f>IF(AND(A506&gt;=Dashboard!$B$2,A506&lt;EDATE(Dashboard!$B$2,1),D506&lt;&gt;""),E506,"")</f>
        <v/>
      </c>
      <c r="J506" s="43" t="str">
        <f t="shared" si="1"/>
        <v/>
      </c>
    </row>
    <row r="507" ht="15.75" customHeight="1">
      <c r="A507" s="99"/>
      <c r="B507" s="93"/>
      <c r="C507" s="93"/>
      <c r="D507" s="93"/>
      <c r="E507" s="94"/>
      <c r="F507" s="93"/>
      <c r="G507" s="93"/>
      <c r="H507" s="93"/>
      <c r="I507" s="43" t="str">
        <f>IF(AND(A507&gt;=Dashboard!$B$2,A507&lt;EDATE(Dashboard!$B$2,1),D507&lt;&gt;""),E507,"")</f>
        <v/>
      </c>
      <c r="J507" s="43" t="str">
        <f t="shared" si="1"/>
        <v/>
      </c>
    </row>
    <row r="508" ht="15.75" customHeight="1">
      <c r="A508" s="99"/>
      <c r="B508" s="93"/>
      <c r="C508" s="93"/>
      <c r="D508" s="93"/>
      <c r="E508" s="94"/>
      <c r="F508" s="93"/>
      <c r="G508" s="93"/>
      <c r="H508" s="93"/>
      <c r="I508" s="43" t="str">
        <f>IF(AND(A508&gt;=Dashboard!$B$2,A508&lt;EDATE(Dashboard!$B$2,1),D508&lt;&gt;""),E508,"")</f>
        <v/>
      </c>
      <c r="J508" s="43" t="str">
        <f t="shared" si="1"/>
        <v/>
      </c>
    </row>
    <row r="509" ht="15.75" customHeight="1">
      <c r="A509" s="99"/>
      <c r="B509" s="93"/>
      <c r="C509" s="93"/>
      <c r="D509" s="93"/>
      <c r="E509" s="94"/>
      <c r="F509" s="93"/>
      <c r="G509" s="93"/>
      <c r="H509" s="93"/>
      <c r="I509" s="43" t="str">
        <f>IF(AND(A509&gt;=Dashboard!$B$2,A509&lt;EDATE(Dashboard!$B$2,1),D509&lt;&gt;""),E509,"")</f>
        <v/>
      </c>
      <c r="J509" s="43" t="str">
        <f t="shared" si="1"/>
        <v/>
      </c>
    </row>
    <row r="510" ht="15.75" customHeight="1">
      <c r="A510" s="99"/>
      <c r="B510" s="93"/>
      <c r="C510" s="93"/>
      <c r="D510" s="93"/>
      <c r="E510" s="94"/>
      <c r="F510" s="93"/>
      <c r="G510" s="93"/>
      <c r="H510" s="93"/>
      <c r="I510" s="43" t="str">
        <f>IF(AND(A510&gt;=Dashboard!$B$2,A510&lt;EDATE(Dashboard!$B$2,1),D510&lt;&gt;""),E510,"")</f>
        <v/>
      </c>
      <c r="J510" s="43" t="str">
        <f t="shared" si="1"/>
        <v/>
      </c>
    </row>
    <row r="511" ht="15.75" customHeight="1">
      <c r="A511" s="99"/>
      <c r="B511" s="93"/>
      <c r="C511" s="93"/>
      <c r="D511" s="93"/>
      <c r="E511" s="94"/>
      <c r="F511" s="93"/>
      <c r="G511" s="93"/>
      <c r="H511" s="93"/>
      <c r="I511" s="43" t="str">
        <f>IF(AND(A511&gt;=Dashboard!$B$2,A511&lt;EDATE(Dashboard!$B$2,1),D511&lt;&gt;""),E511,"")</f>
        <v/>
      </c>
      <c r="J511" s="43" t="str">
        <f t="shared" si="1"/>
        <v/>
      </c>
    </row>
    <row r="512" ht="15.75" customHeight="1">
      <c r="A512" s="99"/>
      <c r="B512" s="93"/>
      <c r="C512" s="93"/>
      <c r="D512" s="93"/>
      <c r="E512" s="94"/>
      <c r="F512" s="93"/>
      <c r="G512" s="93"/>
      <c r="H512" s="93"/>
      <c r="I512" s="43" t="str">
        <f>IF(AND(A512&gt;=Dashboard!$B$2,A512&lt;EDATE(Dashboard!$B$2,1),D512&lt;&gt;""),E512,"")</f>
        <v/>
      </c>
      <c r="J512" s="43" t="str">
        <f t="shared" si="1"/>
        <v/>
      </c>
    </row>
    <row r="513" ht="15.75" customHeight="1">
      <c r="A513" s="99"/>
      <c r="B513" s="93"/>
      <c r="C513" s="93"/>
      <c r="D513" s="93"/>
      <c r="E513" s="94"/>
      <c r="F513" s="93"/>
      <c r="G513" s="93"/>
      <c r="H513" s="93"/>
      <c r="I513" s="43" t="str">
        <f>IF(AND(A513&gt;=Dashboard!$B$2,A513&lt;EDATE(Dashboard!$B$2,1),D513&lt;&gt;""),E513,"")</f>
        <v/>
      </c>
      <c r="J513" s="43" t="str">
        <f t="shared" si="1"/>
        <v/>
      </c>
    </row>
    <row r="514" ht="15.75" customHeight="1">
      <c r="A514" s="99"/>
      <c r="B514" s="93"/>
      <c r="C514" s="93"/>
      <c r="D514" s="93"/>
      <c r="E514" s="94"/>
      <c r="F514" s="93"/>
      <c r="G514" s="93"/>
      <c r="H514" s="93"/>
      <c r="I514" s="43" t="str">
        <f>IF(AND(A514&gt;=Dashboard!$B$2,A514&lt;EDATE(Dashboard!$B$2,1),D514&lt;&gt;""),E514,"")</f>
        <v/>
      </c>
      <c r="J514" s="43" t="str">
        <f t="shared" si="1"/>
        <v/>
      </c>
    </row>
    <row r="515" ht="15.75" customHeight="1">
      <c r="A515" s="99"/>
      <c r="B515" s="93"/>
      <c r="C515" s="93"/>
      <c r="D515" s="93"/>
      <c r="E515" s="94"/>
      <c r="F515" s="93"/>
      <c r="G515" s="93"/>
      <c r="H515" s="93"/>
      <c r="I515" s="43" t="str">
        <f>IF(AND(A515&gt;=Dashboard!$B$2,A515&lt;EDATE(Dashboard!$B$2,1),D515&lt;&gt;""),E515,"")</f>
        <v/>
      </c>
      <c r="J515" s="43" t="str">
        <f t="shared" si="1"/>
        <v/>
      </c>
    </row>
    <row r="516" ht="15.75" customHeight="1">
      <c r="A516" s="99"/>
      <c r="B516" s="93"/>
      <c r="C516" s="93"/>
      <c r="D516" s="93"/>
      <c r="E516" s="94"/>
      <c r="F516" s="93"/>
      <c r="G516" s="93"/>
      <c r="H516" s="93"/>
      <c r="I516" s="43" t="str">
        <f>IF(AND(A516&gt;=Dashboard!$B$2,A516&lt;EDATE(Dashboard!$B$2,1),D516&lt;&gt;""),E516,"")</f>
        <v/>
      </c>
      <c r="J516" s="43" t="str">
        <f t="shared" si="1"/>
        <v/>
      </c>
    </row>
    <row r="517" ht="15.75" customHeight="1">
      <c r="A517" s="99"/>
      <c r="B517" s="93"/>
      <c r="C517" s="93"/>
      <c r="D517" s="93"/>
      <c r="E517" s="94"/>
      <c r="F517" s="93"/>
      <c r="G517" s="93"/>
      <c r="H517" s="93"/>
      <c r="I517" s="43" t="str">
        <f>IF(AND(A517&gt;=Dashboard!$B$2,A517&lt;EDATE(Dashboard!$B$2,1),D517&lt;&gt;""),E517,"")</f>
        <v/>
      </c>
      <c r="J517" s="43" t="str">
        <f t="shared" si="1"/>
        <v/>
      </c>
    </row>
    <row r="518" ht="15.75" customHeight="1">
      <c r="A518" s="99"/>
      <c r="B518" s="93"/>
      <c r="C518" s="93"/>
      <c r="D518" s="93"/>
      <c r="E518" s="94"/>
      <c r="F518" s="93"/>
      <c r="G518" s="93"/>
      <c r="H518" s="93"/>
      <c r="I518" s="43" t="str">
        <f>IF(AND(A518&gt;=Dashboard!$B$2,A518&lt;EDATE(Dashboard!$B$2,1),D518&lt;&gt;""),E518,"")</f>
        <v/>
      </c>
      <c r="J518" s="43" t="str">
        <f t="shared" si="1"/>
        <v/>
      </c>
    </row>
    <row r="519" ht="15.75" customHeight="1">
      <c r="A519" s="99"/>
      <c r="B519" s="93"/>
      <c r="C519" s="93"/>
      <c r="D519" s="93"/>
      <c r="E519" s="94"/>
      <c r="F519" s="93"/>
      <c r="G519" s="93"/>
      <c r="H519" s="93"/>
      <c r="I519" s="43" t="str">
        <f>IF(AND(A519&gt;=Dashboard!$B$2,A519&lt;EDATE(Dashboard!$B$2,1),D519&lt;&gt;""),E519,"")</f>
        <v/>
      </c>
      <c r="J519" s="43" t="str">
        <f t="shared" si="1"/>
        <v/>
      </c>
    </row>
    <row r="520" ht="15.75" customHeight="1">
      <c r="A520" s="99"/>
      <c r="B520" s="93"/>
      <c r="C520" s="93"/>
      <c r="D520" s="93"/>
      <c r="E520" s="94"/>
      <c r="F520" s="93"/>
      <c r="G520" s="93"/>
      <c r="H520" s="93"/>
      <c r="I520" s="43" t="str">
        <f>IF(AND(A520&gt;=Dashboard!$B$2,A520&lt;EDATE(Dashboard!$B$2,1),D520&lt;&gt;""),E520,"")</f>
        <v/>
      </c>
      <c r="J520" s="43" t="str">
        <f t="shared" si="1"/>
        <v/>
      </c>
    </row>
    <row r="521" ht="15.75" customHeight="1">
      <c r="A521" s="99"/>
      <c r="B521" s="93"/>
      <c r="C521" s="93"/>
      <c r="D521" s="93"/>
      <c r="E521" s="94"/>
      <c r="F521" s="93"/>
      <c r="G521" s="93"/>
      <c r="H521" s="93"/>
      <c r="I521" s="43" t="str">
        <f>IF(AND(A521&gt;=Dashboard!$B$2,A521&lt;EDATE(Dashboard!$B$2,1),D521&lt;&gt;""),E521,"")</f>
        <v/>
      </c>
      <c r="J521" s="43" t="str">
        <f t="shared" si="1"/>
        <v/>
      </c>
    </row>
    <row r="522" ht="15.75" customHeight="1">
      <c r="A522" s="99"/>
      <c r="B522" s="93"/>
      <c r="C522" s="93"/>
      <c r="D522" s="93"/>
      <c r="E522" s="94"/>
      <c r="F522" s="93"/>
      <c r="G522" s="93"/>
      <c r="H522" s="93"/>
      <c r="I522" s="43" t="str">
        <f>IF(AND(A522&gt;=Dashboard!$B$2,A522&lt;EDATE(Dashboard!$B$2,1),D522&lt;&gt;""),E522,"")</f>
        <v/>
      </c>
      <c r="J522" s="43" t="str">
        <f t="shared" si="1"/>
        <v/>
      </c>
    </row>
    <row r="523" ht="15.75" customHeight="1">
      <c r="A523" s="99"/>
      <c r="B523" s="93"/>
      <c r="C523" s="93"/>
      <c r="D523" s="93"/>
      <c r="E523" s="94"/>
      <c r="F523" s="93"/>
      <c r="G523" s="93"/>
      <c r="H523" s="93"/>
      <c r="I523" s="43" t="str">
        <f>IF(AND(A523&gt;=Dashboard!$B$2,A523&lt;EDATE(Dashboard!$B$2,1),D523&lt;&gt;""),E523,"")</f>
        <v/>
      </c>
      <c r="J523" s="43" t="str">
        <f t="shared" si="1"/>
        <v/>
      </c>
    </row>
    <row r="524" ht="15.75" customHeight="1">
      <c r="A524" s="99"/>
      <c r="B524" s="93"/>
      <c r="C524" s="93"/>
      <c r="D524" s="93"/>
      <c r="E524" s="94"/>
      <c r="F524" s="93"/>
      <c r="G524" s="93"/>
      <c r="H524" s="93"/>
      <c r="I524" s="43" t="str">
        <f>IF(AND(A524&gt;=Dashboard!$B$2,A524&lt;EDATE(Dashboard!$B$2,1),D524&lt;&gt;""),E524,"")</f>
        <v/>
      </c>
      <c r="J524" s="43" t="str">
        <f t="shared" si="1"/>
        <v/>
      </c>
    </row>
    <row r="525" ht="15.75" customHeight="1">
      <c r="A525" s="99"/>
      <c r="B525" s="93"/>
      <c r="C525" s="93"/>
      <c r="D525" s="93"/>
      <c r="E525" s="94"/>
      <c r="F525" s="93"/>
      <c r="G525" s="93"/>
      <c r="H525" s="93"/>
      <c r="I525" s="43" t="str">
        <f>IF(AND(A525&gt;=Dashboard!$B$2,A525&lt;EDATE(Dashboard!$B$2,1),D525&lt;&gt;""),E525,"")</f>
        <v/>
      </c>
      <c r="J525" s="43" t="str">
        <f t="shared" si="1"/>
        <v/>
      </c>
    </row>
    <row r="526" ht="15.75" customHeight="1">
      <c r="A526" s="99"/>
      <c r="B526" s="93"/>
      <c r="C526" s="93"/>
      <c r="D526" s="93"/>
      <c r="E526" s="94"/>
      <c r="F526" s="93"/>
      <c r="G526" s="93"/>
      <c r="H526" s="93"/>
      <c r="I526" s="43" t="str">
        <f>IF(AND(A526&gt;=Dashboard!$B$2,A526&lt;EDATE(Dashboard!$B$2,1),D526&lt;&gt;""),E526,"")</f>
        <v/>
      </c>
      <c r="J526" s="43" t="str">
        <f t="shared" si="1"/>
        <v/>
      </c>
    </row>
    <row r="527" ht="15.75" customHeight="1">
      <c r="A527" s="99"/>
      <c r="B527" s="93"/>
      <c r="C527" s="93"/>
      <c r="D527" s="93"/>
      <c r="E527" s="94"/>
      <c r="F527" s="93"/>
      <c r="G527" s="93"/>
      <c r="H527" s="93"/>
      <c r="I527" s="43" t="str">
        <f>IF(AND(A527&gt;=Dashboard!$B$2,A527&lt;EDATE(Dashboard!$B$2,1),D527&lt;&gt;""),E527,"")</f>
        <v/>
      </c>
      <c r="J527" s="43" t="str">
        <f t="shared" si="1"/>
        <v/>
      </c>
    </row>
    <row r="528" ht="15.75" customHeight="1">
      <c r="A528" s="99"/>
      <c r="B528" s="93"/>
      <c r="C528" s="93"/>
      <c r="D528" s="93"/>
      <c r="E528" s="94"/>
      <c r="F528" s="93"/>
      <c r="G528" s="93"/>
      <c r="H528" s="93"/>
      <c r="I528" s="43" t="str">
        <f>IF(AND(A528&gt;=Dashboard!$B$2,A528&lt;EDATE(Dashboard!$B$2,1),D528&lt;&gt;""),E528,"")</f>
        <v/>
      </c>
      <c r="J528" s="43" t="str">
        <f t="shared" si="1"/>
        <v/>
      </c>
    </row>
    <row r="529" ht="15.75" customHeight="1">
      <c r="A529" s="99"/>
      <c r="B529" s="93"/>
      <c r="C529" s="93"/>
      <c r="D529" s="93"/>
      <c r="E529" s="94"/>
      <c r="F529" s="93"/>
      <c r="G529" s="93"/>
      <c r="H529" s="93"/>
      <c r="I529" s="43" t="str">
        <f>IF(AND(A529&gt;=Dashboard!$B$2,A529&lt;EDATE(Dashboard!$B$2,1),D529&lt;&gt;""),E529,"")</f>
        <v/>
      </c>
      <c r="J529" s="43" t="str">
        <f t="shared" si="1"/>
        <v/>
      </c>
    </row>
    <row r="530" ht="15.75" customHeight="1">
      <c r="A530" s="99"/>
      <c r="B530" s="93"/>
      <c r="C530" s="93"/>
      <c r="D530" s="93"/>
      <c r="E530" s="94"/>
      <c r="F530" s="93"/>
      <c r="G530" s="93"/>
      <c r="H530" s="93"/>
      <c r="I530" s="43" t="str">
        <f>IF(AND(A530&gt;=Dashboard!$B$2,A530&lt;EDATE(Dashboard!$B$2,1),D530&lt;&gt;""),E530,"")</f>
        <v/>
      </c>
      <c r="J530" s="43" t="str">
        <f t="shared" si="1"/>
        <v/>
      </c>
    </row>
    <row r="531" ht="15.75" customHeight="1">
      <c r="A531" s="99"/>
      <c r="B531" s="93"/>
      <c r="C531" s="93"/>
      <c r="D531" s="93"/>
      <c r="E531" s="94"/>
      <c r="F531" s="93"/>
      <c r="G531" s="93"/>
      <c r="H531" s="93"/>
      <c r="I531" s="43" t="str">
        <f>IF(AND(A531&gt;=Dashboard!$B$2,A531&lt;EDATE(Dashboard!$B$2,1),D531&lt;&gt;""),E531,"")</f>
        <v/>
      </c>
      <c r="J531" s="43" t="str">
        <f t="shared" si="1"/>
        <v/>
      </c>
    </row>
    <row r="532" ht="15.75" customHeight="1">
      <c r="A532" s="99"/>
      <c r="B532" s="93"/>
      <c r="C532" s="93"/>
      <c r="D532" s="93"/>
      <c r="E532" s="94"/>
      <c r="F532" s="93"/>
      <c r="G532" s="93"/>
      <c r="H532" s="93"/>
      <c r="I532" s="43" t="str">
        <f>IF(AND(A532&gt;=Dashboard!$B$2,A532&lt;EDATE(Dashboard!$B$2,1),D532&lt;&gt;""),E532,"")</f>
        <v/>
      </c>
      <c r="J532" s="43" t="str">
        <f t="shared" si="1"/>
        <v/>
      </c>
    </row>
    <row r="533" ht="15.75" customHeight="1">
      <c r="A533" s="99"/>
      <c r="B533" s="93"/>
      <c r="C533" s="93"/>
      <c r="D533" s="93"/>
      <c r="E533" s="94"/>
      <c r="F533" s="93"/>
      <c r="G533" s="93"/>
      <c r="H533" s="93"/>
      <c r="I533" s="43" t="str">
        <f>IF(AND(A533&gt;=Dashboard!$B$2,A533&lt;EDATE(Dashboard!$B$2,1),D533&lt;&gt;""),E533,"")</f>
        <v/>
      </c>
      <c r="J533" s="43" t="str">
        <f t="shared" si="1"/>
        <v/>
      </c>
    </row>
    <row r="534" ht="15.75" customHeight="1">
      <c r="A534" s="99"/>
      <c r="B534" s="93"/>
      <c r="C534" s="93"/>
      <c r="D534" s="93"/>
      <c r="E534" s="94"/>
      <c r="F534" s="93"/>
      <c r="G534" s="93"/>
      <c r="H534" s="93"/>
      <c r="I534" s="43" t="str">
        <f>IF(AND(A534&gt;=Dashboard!$B$2,A534&lt;EDATE(Dashboard!$B$2,1),D534&lt;&gt;""),E534,"")</f>
        <v/>
      </c>
      <c r="J534" s="43" t="str">
        <f t="shared" si="1"/>
        <v/>
      </c>
    </row>
    <row r="535" ht="15.75" customHeight="1">
      <c r="A535" s="99"/>
      <c r="B535" s="93"/>
      <c r="C535" s="93"/>
      <c r="D535" s="93"/>
      <c r="E535" s="94"/>
      <c r="F535" s="93"/>
      <c r="G535" s="93"/>
      <c r="H535" s="93"/>
      <c r="I535" s="43" t="str">
        <f>IF(AND(A535&gt;=Dashboard!$B$2,A535&lt;EDATE(Dashboard!$B$2,1),D535&lt;&gt;""),E535,"")</f>
        <v/>
      </c>
      <c r="J535" s="43" t="str">
        <f t="shared" si="1"/>
        <v/>
      </c>
    </row>
    <row r="536" ht="15.75" customHeight="1">
      <c r="A536" s="99"/>
      <c r="B536" s="93"/>
      <c r="C536" s="93"/>
      <c r="D536" s="93"/>
      <c r="E536" s="94"/>
      <c r="F536" s="93"/>
      <c r="G536" s="93"/>
      <c r="H536" s="93"/>
      <c r="I536" s="43" t="str">
        <f>IF(AND(A536&gt;=Dashboard!$B$2,A536&lt;EDATE(Dashboard!$B$2,1),D536&lt;&gt;""),E536,"")</f>
        <v/>
      </c>
      <c r="J536" s="43" t="str">
        <f t="shared" si="1"/>
        <v/>
      </c>
    </row>
    <row r="537" ht="15.75" customHeight="1">
      <c r="A537" s="99"/>
      <c r="B537" s="93"/>
      <c r="C537" s="93"/>
      <c r="D537" s="93"/>
      <c r="E537" s="94"/>
      <c r="F537" s="93"/>
      <c r="G537" s="93"/>
      <c r="H537" s="93"/>
      <c r="I537" s="43" t="str">
        <f>IF(AND(A537&gt;=Dashboard!$B$2,A537&lt;EDATE(Dashboard!$B$2,1),D537&lt;&gt;""),E537,"")</f>
        <v/>
      </c>
      <c r="J537" s="43" t="str">
        <f t="shared" si="1"/>
        <v/>
      </c>
    </row>
    <row r="538" ht="15.75" customHeight="1">
      <c r="A538" s="99"/>
      <c r="B538" s="93"/>
      <c r="C538" s="93"/>
      <c r="D538" s="93"/>
      <c r="E538" s="94"/>
      <c r="F538" s="93"/>
      <c r="G538" s="93"/>
      <c r="H538" s="93"/>
      <c r="I538" s="43" t="str">
        <f>IF(AND(A538&gt;=Dashboard!$B$2,A538&lt;EDATE(Dashboard!$B$2,1),D538&lt;&gt;""),E538,"")</f>
        <v/>
      </c>
      <c r="J538" s="43" t="str">
        <f t="shared" si="1"/>
        <v/>
      </c>
    </row>
    <row r="539" ht="15.75" customHeight="1">
      <c r="A539" s="99"/>
      <c r="B539" s="93"/>
      <c r="C539" s="93"/>
      <c r="D539" s="93"/>
      <c r="E539" s="94"/>
      <c r="F539" s="93"/>
      <c r="G539" s="93"/>
      <c r="H539" s="93"/>
      <c r="I539" s="43" t="str">
        <f>IF(AND(A539&gt;=Dashboard!$B$2,A539&lt;EDATE(Dashboard!$B$2,1),D539&lt;&gt;""),E539,"")</f>
        <v/>
      </c>
      <c r="J539" s="43" t="str">
        <f t="shared" si="1"/>
        <v/>
      </c>
    </row>
    <row r="540" ht="15.75" customHeight="1">
      <c r="A540" s="99"/>
      <c r="B540" s="93"/>
      <c r="C540" s="93"/>
      <c r="D540" s="93"/>
      <c r="E540" s="94"/>
      <c r="F540" s="93"/>
      <c r="G540" s="93"/>
      <c r="H540" s="93"/>
      <c r="I540" s="43" t="str">
        <f>IF(AND(A540&gt;=Dashboard!$B$2,A540&lt;EDATE(Dashboard!$B$2,1),D540&lt;&gt;""),E540,"")</f>
        <v/>
      </c>
      <c r="J540" s="43" t="str">
        <f t="shared" si="1"/>
        <v/>
      </c>
    </row>
    <row r="541" ht="15.75" customHeight="1">
      <c r="A541" s="99"/>
      <c r="B541" s="93"/>
      <c r="C541" s="93"/>
      <c r="D541" s="93"/>
      <c r="E541" s="94"/>
      <c r="F541" s="93"/>
      <c r="G541" s="93"/>
      <c r="H541" s="93"/>
      <c r="I541" s="43" t="str">
        <f>IF(AND(A541&gt;=Dashboard!$B$2,A541&lt;EDATE(Dashboard!$B$2,1),D541&lt;&gt;""),E541,"")</f>
        <v/>
      </c>
      <c r="J541" s="43" t="str">
        <f t="shared" si="1"/>
        <v/>
      </c>
    </row>
    <row r="542" ht="15.75" customHeight="1">
      <c r="A542" s="99"/>
      <c r="B542" s="93"/>
      <c r="C542" s="93"/>
      <c r="D542" s="93"/>
      <c r="E542" s="94"/>
      <c r="F542" s="93"/>
      <c r="G542" s="93"/>
      <c r="H542" s="93"/>
      <c r="I542" s="43" t="str">
        <f>IF(AND(A542&gt;=Dashboard!$B$2,A542&lt;EDATE(Dashboard!$B$2,1),D542&lt;&gt;""),E542,"")</f>
        <v/>
      </c>
      <c r="J542" s="43" t="str">
        <f t="shared" si="1"/>
        <v/>
      </c>
    </row>
    <row r="543" ht="15.75" customHeight="1">
      <c r="A543" s="99"/>
      <c r="B543" s="93"/>
      <c r="C543" s="93"/>
      <c r="D543" s="93"/>
      <c r="E543" s="94"/>
      <c r="F543" s="93"/>
      <c r="G543" s="93"/>
      <c r="H543" s="93"/>
      <c r="I543" s="43" t="str">
        <f>IF(AND(A543&gt;=Dashboard!$B$2,A543&lt;EDATE(Dashboard!$B$2,1),D543&lt;&gt;""),E543,"")</f>
        <v/>
      </c>
      <c r="J543" s="43" t="str">
        <f t="shared" si="1"/>
        <v/>
      </c>
    </row>
    <row r="544" ht="15.75" customHeight="1">
      <c r="A544" s="99"/>
      <c r="B544" s="93"/>
      <c r="C544" s="93"/>
      <c r="D544" s="93"/>
      <c r="E544" s="94"/>
      <c r="F544" s="93"/>
      <c r="G544" s="93"/>
      <c r="H544" s="93"/>
      <c r="I544" s="43" t="str">
        <f>IF(AND(A544&gt;=Dashboard!$B$2,A544&lt;EDATE(Dashboard!$B$2,1),D544&lt;&gt;""),E544,"")</f>
        <v/>
      </c>
      <c r="J544" s="43" t="str">
        <f t="shared" si="1"/>
        <v/>
      </c>
    </row>
    <row r="545" ht="15.75" customHeight="1">
      <c r="A545" s="99"/>
      <c r="B545" s="93"/>
      <c r="C545" s="93"/>
      <c r="D545" s="93"/>
      <c r="E545" s="94"/>
      <c r="F545" s="93"/>
      <c r="G545" s="93"/>
      <c r="H545" s="93"/>
      <c r="I545" s="43" t="str">
        <f>IF(AND(A545&gt;=Dashboard!$B$2,A545&lt;EDATE(Dashboard!$B$2,1),D545&lt;&gt;""),E545,"")</f>
        <v/>
      </c>
      <c r="J545" s="43" t="str">
        <f t="shared" si="1"/>
        <v/>
      </c>
    </row>
    <row r="546" ht="15.75" customHeight="1">
      <c r="A546" s="99"/>
      <c r="B546" s="93"/>
      <c r="C546" s="93"/>
      <c r="D546" s="93"/>
      <c r="E546" s="94"/>
      <c r="F546" s="93"/>
      <c r="G546" s="93"/>
      <c r="H546" s="93"/>
      <c r="I546" s="43" t="str">
        <f>IF(AND(A546&gt;=Dashboard!$B$2,A546&lt;EDATE(Dashboard!$B$2,1),D546&lt;&gt;""),E546,"")</f>
        <v/>
      </c>
      <c r="J546" s="43" t="str">
        <f t="shared" si="1"/>
        <v/>
      </c>
    </row>
    <row r="547" ht="15.75" customHeight="1">
      <c r="A547" s="99"/>
      <c r="B547" s="93"/>
      <c r="C547" s="93"/>
      <c r="D547" s="93"/>
      <c r="E547" s="94"/>
      <c r="F547" s="93"/>
      <c r="G547" s="93"/>
      <c r="H547" s="93"/>
      <c r="I547" s="43" t="str">
        <f>IF(AND(A547&gt;=Dashboard!$B$2,A547&lt;EDATE(Dashboard!$B$2,1),D547&lt;&gt;""),E547,"")</f>
        <v/>
      </c>
      <c r="J547" s="43" t="str">
        <f t="shared" si="1"/>
        <v/>
      </c>
    </row>
    <row r="548" ht="15.75" customHeight="1">
      <c r="A548" s="99"/>
      <c r="B548" s="93"/>
      <c r="C548" s="93"/>
      <c r="D548" s="93"/>
      <c r="E548" s="94"/>
      <c r="F548" s="93"/>
      <c r="G548" s="93"/>
      <c r="H548" s="93"/>
      <c r="I548" s="43" t="str">
        <f>IF(AND(A548&gt;=Dashboard!$B$2,A548&lt;EDATE(Dashboard!$B$2,1),D548&lt;&gt;""),E548,"")</f>
        <v/>
      </c>
      <c r="J548" s="43" t="str">
        <f t="shared" si="1"/>
        <v/>
      </c>
    </row>
    <row r="549" ht="15.75" customHeight="1">
      <c r="A549" s="99"/>
      <c r="B549" s="93"/>
      <c r="C549" s="93"/>
      <c r="D549" s="93"/>
      <c r="E549" s="94"/>
      <c r="F549" s="93"/>
      <c r="G549" s="93"/>
      <c r="H549" s="93"/>
      <c r="I549" s="43" t="str">
        <f>IF(AND(A549&gt;=Dashboard!$B$2,A549&lt;EDATE(Dashboard!$B$2,1),D549&lt;&gt;""),E549,"")</f>
        <v/>
      </c>
      <c r="J549" s="43" t="str">
        <f t="shared" si="1"/>
        <v/>
      </c>
    </row>
    <row r="550" ht="15.75" customHeight="1">
      <c r="A550" s="99"/>
      <c r="B550" s="93"/>
      <c r="C550" s="93"/>
      <c r="D550" s="93"/>
      <c r="E550" s="94"/>
      <c r="F550" s="93"/>
      <c r="G550" s="93"/>
      <c r="H550" s="93"/>
      <c r="I550" s="43" t="str">
        <f>IF(AND(A550&gt;=Dashboard!$B$2,A550&lt;EDATE(Dashboard!$B$2,1),D550&lt;&gt;""),E550,"")</f>
        <v/>
      </c>
      <c r="J550" s="43" t="str">
        <f t="shared" si="1"/>
        <v/>
      </c>
    </row>
    <row r="551" ht="15.75" customHeight="1">
      <c r="A551" s="99"/>
      <c r="B551" s="93"/>
      <c r="C551" s="93"/>
      <c r="D551" s="93"/>
      <c r="E551" s="94"/>
      <c r="F551" s="93"/>
      <c r="G551" s="93"/>
      <c r="H551" s="93"/>
      <c r="I551" s="43" t="str">
        <f>IF(AND(A551&gt;=Dashboard!$B$2,A551&lt;EDATE(Dashboard!$B$2,1),D551&lt;&gt;""),E551,"")</f>
        <v/>
      </c>
      <c r="J551" s="43" t="str">
        <f t="shared" si="1"/>
        <v/>
      </c>
    </row>
    <row r="552" ht="15.75" customHeight="1">
      <c r="A552" s="99"/>
      <c r="B552" s="93"/>
      <c r="C552" s="93"/>
      <c r="D552" s="93"/>
      <c r="E552" s="94"/>
      <c r="F552" s="93"/>
      <c r="G552" s="93"/>
      <c r="H552" s="93"/>
      <c r="I552" s="43" t="str">
        <f>IF(AND(A552&gt;=Dashboard!$B$2,A552&lt;EDATE(Dashboard!$B$2,1),D552&lt;&gt;""),E552,"")</f>
        <v/>
      </c>
      <c r="J552" s="43" t="str">
        <f t="shared" si="1"/>
        <v/>
      </c>
    </row>
    <row r="553" ht="15.75" customHeight="1">
      <c r="A553" s="99"/>
      <c r="B553" s="93"/>
      <c r="C553" s="93"/>
      <c r="D553" s="93"/>
      <c r="E553" s="94"/>
      <c r="F553" s="93"/>
      <c r="G553" s="93"/>
      <c r="H553" s="93"/>
      <c r="I553" s="43" t="str">
        <f>IF(AND(A553&gt;=Dashboard!$B$2,A553&lt;EDATE(Dashboard!$B$2,1),D553&lt;&gt;""),E553,"")</f>
        <v/>
      </c>
      <c r="J553" s="43" t="str">
        <f t="shared" si="1"/>
        <v/>
      </c>
    </row>
    <row r="554" ht="15.75" customHeight="1">
      <c r="A554" s="99"/>
      <c r="B554" s="93"/>
      <c r="C554" s="93"/>
      <c r="D554" s="93"/>
      <c r="E554" s="94"/>
      <c r="F554" s="93"/>
      <c r="G554" s="93"/>
      <c r="H554" s="93"/>
      <c r="I554" s="43" t="str">
        <f>IF(AND(A554&gt;=Dashboard!$B$2,A554&lt;EDATE(Dashboard!$B$2,1),D554&lt;&gt;""),E554,"")</f>
        <v/>
      </c>
      <c r="J554" s="43" t="str">
        <f t="shared" si="1"/>
        <v/>
      </c>
    </row>
    <row r="555" ht="15.75" customHeight="1">
      <c r="A555" s="99"/>
      <c r="B555" s="93"/>
      <c r="C555" s="93"/>
      <c r="D555" s="93"/>
      <c r="E555" s="94"/>
      <c r="F555" s="93"/>
      <c r="G555" s="93"/>
      <c r="H555" s="93"/>
      <c r="I555" s="43" t="str">
        <f>IF(AND(A555&gt;=Dashboard!$B$2,A555&lt;EDATE(Dashboard!$B$2,1),D555&lt;&gt;""),E555,"")</f>
        <v/>
      </c>
      <c r="J555" s="43" t="str">
        <f t="shared" si="1"/>
        <v/>
      </c>
    </row>
    <row r="556" ht="15.75" customHeight="1">
      <c r="A556" s="99"/>
      <c r="B556" s="93"/>
      <c r="C556" s="93"/>
      <c r="D556" s="93"/>
      <c r="E556" s="94"/>
      <c r="F556" s="93"/>
      <c r="G556" s="93"/>
      <c r="H556" s="93"/>
      <c r="I556" s="43" t="str">
        <f>IF(AND(A556&gt;=Dashboard!$B$2,A556&lt;EDATE(Dashboard!$B$2,1),D556&lt;&gt;""),E556,"")</f>
        <v/>
      </c>
      <c r="J556" s="43" t="str">
        <f t="shared" si="1"/>
        <v/>
      </c>
    </row>
    <row r="557" ht="15.75" customHeight="1">
      <c r="A557" s="99"/>
      <c r="B557" s="93"/>
      <c r="C557" s="93"/>
      <c r="D557" s="93"/>
      <c r="E557" s="94"/>
      <c r="F557" s="93"/>
      <c r="G557" s="93"/>
      <c r="H557" s="93"/>
      <c r="I557" s="43" t="str">
        <f>IF(AND(A557&gt;=Dashboard!$B$2,A557&lt;EDATE(Dashboard!$B$2,1),D557&lt;&gt;""),E557,"")</f>
        <v/>
      </c>
      <c r="J557" s="43" t="str">
        <f t="shared" si="1"/>
        <v/>
      </c>
    </row>
    <row r="558" ht="15.75" customHeight="1">
      <c r="A558" s="99"/>
      <c r="B558" s="93"/>
      <c r="C558" s="93"/>
      <c r="D558" s="93"/>
      <c r="E558" s="94"/>
      <c r="F558" s="93"/>
      <c r="G558" s="93"/>
      <c r="H558" s="93"/>
      <c r="I558" s="43" t="str">
        <f>IF(AND(A558&gt;=Dashboard!$B$2,A558&lt;EDATE(Dashboard!$B$2,1),D558&lt;&gt;""),E558,"")</f>
        <v/>
      </c>
      <c r="J558" s="43" t="str">
        <f t="shared" si="1"/>
        <v/>
      </c>
    </row>
    <row r="559" ht="15.75" customHeight="1">
      <c r="A559" s="99"/>
      <c r="B559" s="93"/>
      <c r="C559" s="93"/>
      <c r="D559" s="93"/>
      <c r="E559" s="94"/>
      <c r="F559" s="93"/>
      <c r="G559" s="93"/>
      <c r="H559" s="93"/>
      <c r="I559" s="43" t="str">
        <f>IF(AND(A559&gt;=Dashboard!$B$2,A559&lt;EDATE(Dashboard!$B$2,1),D559&lt;&gt;""),E559,"")</f>
        <v/>
      </c>
      <c r="J559" s="43" t="str">
        <f t="shared" si="1"/>
        <v/>
      </c>
    </row>
    <row r="560" ht="15.75" customHeight="1">
      <c r="A560" s="99"/>
      <c r="B560" s="93"/>
      <c r="C560" s="93"/>
      <c r="D560" s="93"/>
      <c r="E560" s="94"/>
      <c r="F560" s="93"/>
      <c r="G560" s="93"/>
      <c r="H560" s="93"/>
      <c r="I560" s="43" t="str">
        <f>IF(AND(A560&gt;=Dashboard!$B$2,A560&lt;EDATE(Dashboard!$B$2,1),D560&lt;&gt;""),E560,"")</f>
        <v/>
      </c>
      <c r="J560" s="43" t="str">
        <f t="shared" si="1"/>
        <v/>
      </c>
    </row>
    <row r="561" ht="15.75" customHeight="1">
      <c r="A561" s="99"/>
      <c r="B561" s="93"/>
      <c r="C561" s="93"/>
      <c r="D561" s="93"/>
      <c r="E561" s="94"/>
      <c r="F561" s="93"/>
      <c r="G561" s="93"/>
      <c r="H561" s="93"/>
      <c r="I561" s="43" t="str">
        <f>IF(AND(A561&gt;=Dashboard!$B$2,A561&lt;EDATE(Dashboard!$B$2,1),D561&lt;&gt;""),E561,"")</f>
        <v/>
      </c>
      <c r="J561" s="43" t="str">
        <f t="shared" si="1"/>
        <v/>
      </c>
    </row>
    <row r="562" ht="15.75" customHeight="1">
      <c r="A562" s="99"/>
      <c r="B562" s="93"/>
      <c r="C562" s="93"/>
      <c r="D562" s="93"/>
      <c r="E562" s="94"/>
      <c r="F562" s="93"/>
      <c r="G562" s="93"/>
      <c r="H562" s="93"/>
      <c r="I562" s="43" t="str">
        <f>IF(AND(A562&gt;=Dashboard!$B$2,A562&lt;EDATE(Dashboard!$B$2,1),D562&lt;&gt;""),E562,"")</f>
        <v/>
      </c>
      <c r="J562" s="43" t="str">
        <f t="shared" si="1"/>
        <v/>
      </c>
    </row>
    <row r="563" ht="15.75" customHeight="1">
      <c r="A563" s="99"/>
      <c r="B563" s="93"/>
      <c r="C563" s="93"/>
      <c r="D563" s="93"/>
      <c r="E563" s="94"/>
      <c r="F563" s="93"/>
      <c r="G563" s="93"/>
      <c r="H563" s="93"/>
      <c r="I563" s="43" t="str">
        <f>IF(AND(A563&gt;=Dashboard!$B$2,A563&lt;EDATE(Dashboard!$B$2,1),D563&lt;&gt;""),E563,"")</f>
        <v/>
      </c>
      <c r="J563" s="43" t="str">
        <f t="shared" si="1"/>
        <v/>
      </c>
    </row>
    <row r="564" ht="15.75" customHeight="1">
      <c r="A564" s="99"/>
      <c r="B564" s="93"/>
      <c r="C564" s="93"/>
      <c r="D564" s="93"/>
      <c r="E564" s="94"/>
      <c r="F564" s="93"/>
      <c r="G564" s="93"/>
      <c r="H564" s="93"/>
      <c r="I564" s="43" t="str">
        <f>IF(AND(A564&gt;=Dashboard!$B$2,A564&lt;EDATE(Dashboard!$B$2,1),D564&lt;&gt;""),E564,"")</f>
        <v/>
      </c>
      <c r="J564" s="43" t="str">
        <f t="shared" si="1"/>
        <v/>
      </c>
    </row>
    <row r="565" ht="15.75" customHeight="1">
      <c r="A565" s="99"/>
      <c r="B565" s="93"/>
      <c r="C565" s="93"/>
      <c r="D565" s="93"/>
      <c r="E565" s="94"/>
      <c r="F565" s="93"/>
      <c r="G565" s="93"/>
      <c r="H565" s="93"/>
      <c r="I565" s="43" t="str">
        <f>IF(AND(A565&gt;=Dashboard!$B$2,A565&lt;EDATE(Dashboard!$B$2,1),D565&lt;&gt;""),E565,"")</f>
        <v/>
      </c>
      <c r="J565" s="43" t="str">
        <f t="shared" si="1"/>
        <v/>
      </c>
    </row>
    <row r="566" ht="15.75" customHeight="1">
      <c r="A566" s="99"/>
      <c r="B566" s="93"/>
      <c r="C566" s="93"/>
      <c r="D566" s="93"/>
      <c r="E566" s="94"/>
      <c r="F566" s="93"/>
      <c r="G566" s="93"/>
      <c r="H566" s="93"/>
      <c r="I566" s="43" t="str">
        <f>IF(AND(A566&gt;=Dashboard!$B$2,A566&lt;EDATE(Dashboard!$B$2,1),D566&lt;&gt;""),E566,"")</f>
        <v/>
      </c>
      <c r="J566" s="43" t="str">
        <f t="shared" si="1"/>
        <v/>
      </c>
    </row>
    <row r="567" ht="15.75" customHeight="1">
      <c r="A567" s="99"/>
      <c r="B567" s="93"/>
      <c r="C567" s="93"/>
      <c r="D567" s="93"/>
      <c r="E567" s="94"/>
      <c r="F567" s="93"/>
      <c r="G567" s="93"/>
      <c r="H567" s="93"/>
      <c r="I567" s="43" t="str">
        <f>IF(AND(A567&gt;=Dashboard!$B$2,A567&lt;EDATE(Dashboard!$B$2,1),D567&lt;&gt;""),E567,"")</f>
        <v/>
      </c>
      <c r="J567" s="43" t="str">
        <f t="shared" si="1"/>
        <v/>
      </c>
    </row>
    <row r="568" ht="15.75" customHeight="1">
      <c r="A568" s="99"/>
      <c r="B568" s="93"/>
      <c r="C568" s="93"/>
      <c r="D568" s="93"/>
      <c r="E568" s="94"/>
      <c r="F568" s="93"/>
      <c r="G568" s="93"/>
      <c r="H568" s="93"/>
      <c r="I568" s="43" t="str">
        <f>IF(AND(A568&gt;=Dashboard!$B$2,A568&lt;EDATE(Dashboard!$B$2,1),D568&lt;&gt;""),E568,"")</f>
        <v/>
      </c>
      <c r="J568" s="43" t="str">
        <f t="shared" si="1"/>
        <v/>
      </c>
    </row>
    <row r="569" ht="15.75" customHeight="1">
      <c r="A569" s="99"/>
      <c r="B569" s="93"/>
      <c r="C569" s="93"/>
      <c r="D569" s="93"/>
      <c r="E569" s="94"/>
      <c r="F569" s="93"/>
      <c r="G569" s="93"/>
      <c r="H569" s="93"/>
      <c r="I569" s="43" t="str">
        <f>IF(AND(A569&gt;=Dashboard!$B$2,A569&lt;EDATE(Dashboard!$B$2,1),D569&lt;&gt;""),E569,"")</f>
        <v/>
      </c>
      <c r="J569" s="43" t="str">
        <f t="shared" si="1"/>
        <v/>
      </c>
    </row>
    <row r="570" ht="15.75" customHeight="1">
      <c r="A570" s="99"/>
      <c r="B570" s="93"/>
      <c r="C570" s="93"/>
      <c r="D570" s="93"/>
      <c r="E570" s="94"/>
      <c r="F570" s="93"/>
      <c r="G570" s="93"/>
      <c r="H570" s="93"/>
      <c r="I570" s="43" t="str">
        <f>IF(AND(A570&gt;=Dashboard!$B$2,A570&lt;EDATE(Dashboard!$B$2,1),D570&lt;&gt;""),E570,"")</f>
        <v/>
      </c>
      <c r="J570" s="43" t="str">
        <f t="shared" si="1"/>
        <v/>
      </c>
    </row>
    <row r="571" ht="15.75" customHeight="1">
      <c r="A571" s="99"/>
      <c r="B571" s="93"/>
      <c r="C571" s="93"/>
      <c r="D571" s="93"/>
      <c r="E571" s="94"/>
      <c r="F571" s="93"/>
      <c r="G571" s="93"/>
      <c r="H571" s="93"/>
      <c r="I571" s="43" t="str">
        <f>IF(AND(A571&gt;=Dashboard!$B$2,A571&lt;EDATE(Dashboard!$B$2,1),D571&lt;&gt;""),E571,"")</f>
        <v/>
      </c>
      <c r="J571" s="43" t="str">
        <f t="shared" si="1"/>
        <v/>
      </c>
    </row>
    <row r="572" ht="15.75" customHeight="1">
      <c r="A572" s="99"/>
      <c r="B572" s="93"/>
      <c r="C572" s="93"/>
      <c r="D572" s="93"/>
      <c r="E572" s="94"/>
      <c r="F572" s="93"/>
      <c r="G572" s="93"/>
      <c r="H572" s="93"/>
      <c r="I572" s="43" t="str">
        <f>IF(AND(A572&gt;=Dashboard!$B$2,A572&lt;EDATE(Dashboard!$B$2,1),D572&lt;&gt;""),E572,"")</f>
        <v/>
      </c>
      <c r="J572" s="43" t="str">
        <f t="shared" si="1"/>
        <v/>
      </c>
    </row>
    <row r="573" ht="15.75" customHeight="1">
      <c r="A573" s="99"/>
      <c r="B573" s="93"/>
      <c r="C573" s="93"/>
      <c r="D573" s="93"/>
      <c r="E573" s="94"/>
      <c r="F573" s="93"/>
      <c r="G573" s="93"/>
      <c r="H573" s="93"/>
      <c r="I573" s="43" t="str">
        <f>IF(AND(A573&gt;=Dashboard!$B$2,A573&lt;EDATE(Dashboard!$B$2,1),D573&lt;&gt;""),E573,"")</f>
        <v/>
      </c>
      <c r="J573" s="43" t="str">
        <f t="shared" si="1"/>
        <v/>
      </c>
    </row>
    <row r="574" ht="15.75" customHeight="1">
      <c r="A574" s="99"/>
      <c r="B574" s="93"/>
      <c r="C574" s="93"/>
      <c r="D574" s="93"/>
      <c r="E574" s="94"/>
      <c r="F574" s="93"/>
      <c r="G574" s="93"/>
      <c r="H574" s="93"/>
      <c r="I574" s="43" t="str">
        <f>IF(AND(A574&gt;=Dashboard!$B$2,A574&lt;EDATE(Dashboard!$B$2,1),D574&lt;&gt;""),E574,"")</f>
        <v/>
      </c>
      <c r="J574" s="43" t="str">
        <f t="shared" si="1"/>
        <v/>
      </c>
    </row>
    <row r="575" ht="15.75" customHeight="1">
      <c r="A575" s="99"/>
      <c r="B575" s="93"/>
      <c r="C575" s="93"/>
      <c r="D575" s="93"/>
      <c r="E575" s="94"/>
      <c r="F575" s="93"/>
      <c r="G575" s="93"/>
      <c r="H575" s="93"/>
      <c r="I575" s="43" t="str">
        <f>IF(AND(A575&gt;=Dashboard!$B$2,A575&lt;EDATE(Dashboard!$B$2,1),D575&lt;&gt;""),E575,"")</f>
        <v/>
      </c>
      <c r="J575" s="43" t="str">
        <f t="shared" si="1"/>
        <v/>
      </c>
    </row>
    <row r="576" ht="15.75" customHeight="1">
      <c r="A576" s="99"/>
      <c r="B576" s="93"/>
      <c r="C576" s="93"/>
      <c r="D576" s="93"/>
      <c r="E576" s="94"/>
      <c r="F576" s="93"/>
      <c r="G576" s="93"/>
      <c r="H576" s="93"/>
      <c r="I576" s="43" t="str">
        <f>IF(AND(A576&gt;=Dashboard!$B$2,A576&lt;EDATE(Dashboard!$B$2,1),D576&lt;&gt;""),E576,"")</f>
        <v/>
      </c>
      <c r="J576" s="43" t="str">
        <f t="shared" si="1"/>
        <v/>
      </c>
    </row>
    <row r="577" ht="15.75" customHeight="1">
      <c r="A577" s="99"/>
      <c r="B577" s="93"/>
      <c r="C577" s="93"/>
      <c r="D577" s="93"/>
      <c r="E577" s="94"/>
      <c r="F577" s="93"/>
      <c r="G577" s="93"/>
      <c r="H577" s="93"/>
      <c r="I577" s="43" t="str">
        <f>IF(AND(A577&gt;=Dashboard!$B$2,A577&lt;EDATE(Dashboard!$B$2,1),D577&lt;&gt;""),E577,"")</f>
        <v/>
      </c>
      <c r="J577" s="43" t="str">
        <f t="shared" si="1"/>
        <v/>
      </c>
    </row>
    <row r="578" ht="15.75" customHeight="1">
      <c r="A578" s="99"/>
      <c r="B578" s="93"/>
      <c r="C578" s="93"/>
      <c r="D578" s="93"/>
      <c r="E578" s="94"/>
      <c r="F578" s="93"/>
      <c r="G578" s="93"/>
      <c r="H578" s="93"/>
      <c r="I578" s="43" t="str">
        <f>IF(AND(A578&gt;=Dashboard!$B$2,A578&lt;EDATE(Dashboard!$B$2,1),D578&lt;&gt;""),E578,"")</f>
        <v/>
      </c>
      <c r="J578" s="43" t="str">
        <f t="shared" si="1"/>
        <v/>
      </c>
    </row>
    <row r="579" ht="15.75" customHeight="1">
      <c r="A579" s="99"/>
      <c r="B579" s="93"/>
      <c r="C579" s="93"/>
      <c r="D579" s="93"/>
      <c r="E579" s="94"/>
      <c r="F579" s="93"/>
      <c r="G579" s="93"/>
      <c r="H579" s="93"/>
      <c r="I579" s="43" t="str">
        <f>IF(AND(A579&gt;=Dashboard!$B$2,A579&lt;EDATE(Dashboard!$B$2,1),D579&lt;&gt;""),E579,"")</f>
        <v/>
      </c>
      <c r="J579" s="43" t="str">
        <f t="shared" si="1"/>
        <v/>
      </c>
    </row>
    <row r="580" ht="15.75" customHeight="1">
      <c r="A580" s="99"/>
      <c r="B580" s="93"/>
      <c r="C580" s="93"/>
      <c r="D580" s="93"/>
      <c r="E580" s="94"/>
      <c r="F580" s="93"/>
      <c r="G580" s="93"/>
      <c r="H580" s="93"/>
      <c r="I580" s="43" t="str">
        <f>IF(AND(A580&gt;=Dashboard!$B$2,A580&lt;EDATE(Dashboard!$B$2,1),D580&lt;&gt;""),E580,"")</f>
        <v/>
      </c>
      <c r="J580" s="43" t="str">
        <f t="shared" si="1"/>
        <v/>
      </c>
    </row>
    <row r="581" ht="15.75" customHeight="1">
      <c r="A581" s="99"/>
      <c r="B581" s="93"/>
      <c r="C581" s="93"/>
      <c r="D581" s="93"/>
      <c r="E581" s="94"/>
      <c r="F581" s="93"/>
      <c r="G581" s="93"/>
      <c r="H581" s="93"/>
      <c r="I581" s="43" t="str">
        <f>IF(AND(A581&gt;=Dashboard!$B$2,A581&lt;EDATE(Dashboard!$B$2,1),D581&lt;&gt;""),E581,"")</f>
        <v/>
      </c>
      <c r="J581" s="43" t="str">
        <f t="shared" si="1"/>
        <v/>
      </c>
    </row>
    <row r="582" ht="15.75" customHeight="1">
      <c r="A582" s="99"/>
      <c r="B582" s="93"/>
      <c r="C582" s="93"/>
      <c r="D582" s="93"/>
      <c r="E582" s="94"/>
      <c r="F582" s="93"/>
      <c r="G582" s="93"/>
      <c r="H582" s="93"/>
      <c r="I582" s="43" t="str">
        <f>IF(AND(A582&gt;=Dashboard!$B$2,A582&lt;EDATE(Dashboard!$B$2,1),D582&lt;&gt;""),E582,"")</f>
        <v/>
      </c>
      <c r="J582" s="43" t="str">
        <f t="shared" si="1"/>
        <v/>
      </c>
    </row>
    <row r="583" ht="15.75" customHeight="1">
      <c r="A583" s="99"/>
      <c r="B583" s="93"/>
      <c r="C583" s="93"/>
      <c r="D583" s="93"/>
      <c r="E583" s="94"/>
      <c r="F583" s="93"/>
      <c r="G583" s="93"/>
      <c r="H583" s="93"/>
      <c r="I583" s="43" t="str">
        <f>IF(AND(A583&gt;=Dashboard!$B$2,A583&lt;EDATE(Dashboard!$B$2,1),D583&lt;&gt;""),E583,"")</f>
        <v/>
      </c>
      <c r="J583" s="43" t="str">
        <f t="shared" si="1"/>
        <v/>
      </c>
    </row>
    <row r="584" ht="15.75" customHeight="1">
      <c r="A584" s="99"/>
      <c r="B584" s="93"/>
      <c r="C584" s="93"/>
      <c r="D584" s="93"/>
      <c r="E584" s="94"/>
      <c r="F584" s="93"/>
      <c r="G584" s="93"/>
      <c r="H584" s="93"/>
      <c r="I584" s="43" t="str">
        <f>IF(AND(A584&gt;=Dashboard!$B$2,A584&lt;EDATE(Dashboard!$B$2,1),D584&lt;&gt;""),E584,"")</f>
        <v/>
      </c>
      <c r="J584" s="43" t="str">
        <f t="shared" si="1"/>
        <v/>
      </c>
    </row>
    <row r="585" ht="15.75" customHeight="1">
      <c r="A585" s="99"/>
      <c r="B585" s="93"/>
      <c r="C585" s="93"/>
      <c r="D585" s="93"/>
      <c r="E585" s="94"/>
      <c r="F585" s="93"/>
      <c r="G585" s="93"/>
      <c r="H585" s="93"/>
      <c r="I585" s="43" t="str">
        <f>IF(AND(A585&gt;=Dashboard!$B$2,A585&lt;EDATE(Dashboard!$B$2,1),D585&lt;&gt;""),E585,"")</f>
        <v/>
      </c>
      <c r="J585" s="43" t="str">
        <f t="shared" si="1"/>
        <v/>
      </c>
    </row>
    <row r="586" ht="15.75" customHeight="1">
      <c r="A586" s="99"/>
      <c r="B586" s="93"/>
      <c r="C586" s="93"/>
      <c r="D586" s="93"/>
      <c r="E586" s="94"/>
      <c r="F586" s="93"/>
      <c r="G586" s="93"/>
      <c r="H586" s="93"/>
      <c r="I586" s="43" t="str">
        <f>IF(AND(A586&gt;=Dashboard!$B$2,A586&lt;EDATE(Dashboard!$B$2,1),D586&lt;&gt;""),E586,"")</f>
        <v/>
      </c>
      <c r="J586" s="43" t="str">
        <f t="shared" si="1"/>
        <v/>
      </c>
    </row>
    <row r="587" ht="15.75" customHeight="1">
      <c r="A587" s="99"/>
      <c r="B587" s="93"/>
      <c r="C587" s="93"/>
      <c r="D587" s="93"/>
      <c r="E587" s="94"/>
      <c r="F587" s="93"/>
      <c r="G587" s="93"/>
      <c r="H587" s="93"/>
      <c r="I587" s="43" t="str">
        <f>IF(AND(A587&gt;=Dashboard!$B$2,A587&lt;EDATE(Dashboard!$B$2,1),D587&lt;&gt;""),E587,"")</f>
        <v/>
      </c>
      <c r="J587" s="43" t="str">
        <f t="shared" si="1"/>
        <v/>
      </c>
    </row>
    <row r="588" ht="15.75" customHeight="1">
      <c r="A588" s="99"/>
      <c r="B588" s="93"/>
      <c r="C588" s="93"/>
      <c r="D588" s="93"/>
      <c r="E588" s="94"/>
      <c r="F588" s="93"/>
      <c r="G588" s="93"/>
      <c r="H588" s="93"/>
      <c r="I588" s="43" t="str">
        <f>IF(AND(A588&gt;=Dashboard!$B$2,A588&lt;EDATE(Dashboard!$B$2,1),D588&lt;&gt;""),E588,"")</f>
        <v/>
      </c>
      <c r="J588" s="43" t="str">
        <f t="shared" si="1"/>
        <v/>
      </c>
    </row>
    <row r="589" ht="15.75" customHeight="1">
      <c r="A589" s="99"/>
      <c r="B589" s="93"/>
      <c r="C589" s="93"/>
      <c r="D589" s="93"/>
      <c r="E589" s="94"/>
      <c r="F589" s="93"/>
      <c r="G589" s="93"/>
      <c r="H589" s="93"/>
      <c r="I589" s="43" t="str">
        <f>IF(AND(A589&gt;=Dashboard!$B$2,A589&lt;EDATE(Dashboard!$B$2,1),D589&lt;&gt;""),E589,"")</f>
        <v/>
      </c>
      <c r="J589" s="43" t="str">
        <f t="shared" si="1"/>
        <v/>
      </c>
    </row>
    <row r="590" ht="15.75" customHeight="1">
      <c r="A590" s="99"/>
      <c r="B590" s="93"/>
      <c r="C590" s="93"/>
      <c r="D590" s="93"/>
      <c r="E590" s="94"/>
      <c r="F590" s="93"/>
      <c r="G590" s="93"/>
      <c r="H590" s="93"/>
      <c r="I590" s="43" t="str">
        <f>IF(AND(A590&gt;=Dashboard!$B$2,A590&lt;EDATE(Dashboard!$B$2,1),D590&lt;&gt;""),E590,"")</f>
        <v/>
      </c>
      <c r="J590" s="43" t="str">
        <f t="shared" si="1"/>
        <v/>
      </c>
    </row>
    <row r="591" ht="15.75" customHeight="1">
      <c r="A591" s="99"/>
      <c r="B591" s="93"/>
      <c r="C591" s="93"/>
      <c r="D591" s="93"/>
      <c r="E591" s="94"/>
      <c r="F591" s="93"/>
      <c r="G591" s="93"/>
      <c r="H591" s="93"/>
      <c r="I591" s="43" t="str">
        <f>IF(AND(A591&gt;=Dashboard!$B$2,A591&lt;EDATE(Dashboard!$B$2,1),D591&lt;&gt;""),E591,"")</f>
        <v/>
      </c>
      <c r="J591" s="43" t="str">
        <f t="shared" si="1"/>
        <v/>
      </c>
    </row>
    <row r="592" ht="15.75" customHeight="1">
      <c r="A592" s="99"/>
      <c r="B592" s="93"/>
      <c r="C592" s="93"/>
      <c r="D592" s="93"/>
      <c r="E592" s="94"/>
      <c r="F592" s="93"/>
      <c r="G592" s="93"/>
      <c r="H592" s="93"/>
      <c r="I592" s="43" t="str">
        <f>IF(AND(A592&gt;=Dashboard!$B$2,A592&lt;EDATE(Dashboard!$B$2,1),D592&lt;&gt;""),E592,"")</f>
        <v/>
      </c>
      <c r="J592" s="43" t="str">
        <f t="shared" si="1"/>
        <v/>
      </c>
    </row>
    <row r="593" ht="15.75" customHeight="1">
      <c r="A593" s="99"/>
      <c r="B593" s="93"/>
      <c r="C593" s="93"/>
      <c r="D593" s="93"/>
      <c r="E593" s="94"/>
      <c r="F593" s="93"/>
      <c r="G593" s="93"/>
      <c r="H593" s="93"/>
      <c r="I593" s="43" t="str">
        <f>IF(AND(A593&gt;=Dashboard!$B$2,A593&lt;EDATE(Dashboard!$B$2,1),D593&lt;&gt;""),E593,"")</f>
        <v/>
      </c>
      <c r="J593" s="43" t="str">
        <f t="shared" si="1"/>
        <v/>
      </c>
    </row>
    <row r="594" ht="15.75" customHeight="1">
      <c r="A594" s="99"/>
      <c r="B594" s="93"/>
      <c r="C594" s="93"/>
      <c r="D594" s="93"/>
      <c r="E594" s="94"/>
      <c r="F594" s="93"/>
      <c r="G594" s="93"/>
      <c r="H594" s="93"/>
      <c r="I594" s="43" t="str">
        <f>IF(AND(A594&gt;=Dashboard!$B$2,A594&lt;EDATE(Dashboard!$B$2,1),D594&lt;&gt;""),E594,"")</f>
        <v/>
      </c>
      <c r="J594" s="43" t="str">
        <f t="shared" si="1"/>
        <v/>
      </c>
    </row>
    <row r="595" ht="15.75" customHeight="1">
      <c r="A595" s="99"/>
      <c r="B595" s="93"/>
      <c r="C595" s="93"/>
      <c r="D595" s="93"/>
      <c r="E595" s="94"/>
      <c r="F595" s="93"/>
      <c r="G595" s="93"/>
      <c r="H595" s="93"/>
      <c r="I595" s="43" t="str">
        <f>IF(AND(A595&gt;=Dashboard!$B$2,A595&lt;EDATE(Dashboard!$B$2,1),D595&lt;&gt;""),E595,"")</f>
        <v/>
      </c>
      <c r="J595" s="43" t="str">
        <f t="shared" si="1"/>
        <v/>
      </c>
    </row>
    <row r="596" ht="15.75" customHeight="1">
      <c r="A596" s="99"/>
      <c r="B596" s="93"/>
      <c r="C596" s="93"/>
      <c r="D596" s="93"/>
      <c r="E596" s="94"/>
      <c r="F596" s="93"/>
      <c r="G596" s="93"/>
      <c r="H596" s="93"/>
      <c r="I596" s="43" t="str">
        <f>IF(AND(A596&gt;=Dashboard!$B$2,A596&lt;EDATE(Dashboard!$B$2,1),D596&lt;&gt;""),E596,"")</f>
        <v/>
      </c>
      <c r="J596" s="43" t="str">
        <f t="shared" si="1"/>
        <v/>
      </c>
    </row>
    <row r="597" ht="15.75" customHeight="1">
      <c r="A597" s="99"/>
      <c r="B597" s="93"/>
      <c r="C597" s="93"/>
      <c r="D597" s="93"/>
      <c r="E597" s="94"/>
      <c r="F597" s="93"/>
      <c r="G597" s="93"/>
      <c r="H597" s="93"/>
      <c r="I597" s="43" t="str">
        <f>IF(AND(A597&gt;=Dashboard!$B$2,A597&lt;EDATE(Dashboard!$B$2,1),D597&lt;&gt;""),E597,"")</f>
        <v/>
      </c>
      <c r="J597" s="43" t="str">
        <f t="shared" si="1"/>
        <v/>
      </c>
    </row>
    <row r="598" ht="15.75" customHeight="1">
      <c r="A598" s="99"/>
      <c r="B598" s="93"/>
      <c r="C598" s="93"/>
      <c r="D598" s="93"/>
      <c r="E598" s="94"/>
      <c r="F598" s="93"/>
      <c r="G598" s="93"/>
      <c r="H598" s="93"/>
      <c r="I598" s="43" t="str">
        <f>IF(AND(A598&gt;=Dashboard!$B$2,A598&lt;EDATE(Dashboard!$B$2,1),D598&lt;&gt;""),E598,"")</f>
        <v/>
      </c>
      <c r="J598" s="43" t="str">
        <f t="shared" si="1"/>
        <v/>
      </c>
    </row>
    <row r="599" ht="15.75" customHeight="1">
      <c r="A599" s="99"/>
      <c r="B599" s="93"/>
      <c r="C599" s="93"/>
      <c r="D599" s="93"/>
      <c r="E599" s="94"/>
      <c r="F599" s="93"/>
      <c r="G599" s="93"/>
      <c r="H599" s="93"/>
      <c r="I599" s="43" t="str">
        <f>IF(AND(A599&gt;=Dashboard!$B$2,A599&lt;EDATE(Dashboard!$B$2,1),D599&lt;&gt;""),E599,"")</f>
        <v/>
      </c>
      <c r="J599" s="43" t="str">
        <f t="shared" si="1"/>
        <v/>
      </c>
    </row>
    <row r="600" ht="15.75" customHeight="1">
      <c r="A600" s="99"/>
      <c r="B600" s="93"/>
      <c r="C600" s="93"/>
      <c r="D600" s="93"/>
      <c r="E600" s="94"/>
      <c r="F600" s="93"/>
      <c r="G600" s="93"/>
      <c r="H600" s="93"/>
      <c r="I600" s="43" t="str">
        <f>IF(AND(A600&gt;=Dashboard!$B$2,A600&lt;EDATE(Dashboard!$B$2,1),D600&lt;&gt;""),E600,"")</f>
        <v/>
      </c>
      <c r="J600" s="43" t="str">
        <f t="shared" si="1"/>
        <v/>
      </c>
    </row>
    <row r="601" ht="15.75" customHeight="1">
      <c r="A601" s="99"/>
      <c r="B601" s="93"/>
      <c r="C601" s="93"/>
      <c r="D601" s="93"/>
      <c r="E601" s="94"/>
      <c r="F601" s="93"/>
      <c r="G601" s="93"/>
      <c r="H601" s="93"/>
      <c r="I601" s="43" t="str">
        <f>IF(AND(A601&gt;=Dashboard!$B$2,A601&lt;EDATE(Dashboard!$B$2,1),D601&lt;&gt;""),E601,"")</f>
        <v/>
      </c>
      <c r="J601" s="43" t="str">
        <f t="shared" si="1"/>
        <v/>
      </c>
    </row>
    <row r="602" ht="15.75" customHeight="1">
      <c r="A602" s="99"/>
      <c r="B602" s="93"/>
      <c r="C602" s="93"/>
      <c r="D602" s="93"/>
      <c r="E602" s="94"/>
      <c r="F602" s="93"/>
      <c r="G602" s="93"/>
      <c r="H602" s="93"/>
      <c r="I602" s="43" t="str">
        <f>IF(AND(A602&gt;=Dashboard!$B$2,A602&lt;EDATE(Dashboard!$B$2,1),D602&lt;&gt;""),E602,"")</f>
        <v/>
      </c>
      <c r="J602" s="43" t="str">
        <f t="shared" si="1"/>
        <v/>
      </c>
    </row>
    <row r="603" ht="15.75" customHeight="1">
      <c r="A603" s="99"/>
      <c r="B603" s="93"/>
      <c r="C603" s="93"/>
      <c r="D603" s="93"/>
      <c r="E603" s="94"/>
      <c r="F603" s="93"/>
      <c r="G603" s="93"/>
      <c r="H603" s="93"/>
      <c r="I603" s="43" t="str">
        <f>IF(AND(A603&gt;=Dashboard!$B$2,A603&lt;EDATE(Dashboard!$B$2,1),D603&lt;&gt;""),E603,"")</f>
        <v/>
      </c>
      <c r="J603" s="43" t="str">
        <f t="shared" si="1"/>
        <v/>
      </c>
    </row>
    <row r="604" ht="15.75" customHeight="1">
      <c r="A604" s="99"/>
      <c r="B604" s="93"/>
      <c r="C604" s="93"/>
      <c r="D604" s="93"/>
      <c r="E604" s="94"/>
      <c r="F604" s="93"/>
      <c r="G604" s="93"/>
      <c r="H604" s="93"/>
      <c r="I604" s="43" t="str">
        <f>IF(AND(A604&gt;=Dashboard!$B$2,A604&lt;EDATE(Dashboard!$B$2,1),D604&lt;&gt;""),E604,"")</f>
        <v/>
      </c>
      <c r="J604" s="43" t="str">
        <f t="shared" si="1"/>
        <v/>
      </c>
    </row>
    <row r="605" ht="15.75" customHeight="1">
      <c r="A605" s="99"/>
      <c r="B605" s="93"/>
      <c r="C605" s="93"/>
      <c r="D605" s="93"/>
      <c r="E605" s="94"/>
      <c r="F605" s="93"/>
      <c r="G605" s="93"/>
      <c r="H605" s="93"/>
      <c r="I605" s="43" t="str">
        <f>IF(AND(A605&gt;=Dashboard!$B$2,A605&lt;EDATE(Dashboard!$B$2,1),D605&lt;&gt;""),E605,"")</f>
        <v/>
      </c>
      <c r="J605" s="43" t="str">
        <f t="shared" si="1"/>
        <v/>
      </c>
    </row>
    <row r="606" ht="15.75" customHeight="1">
      <c r="A606" s="99"/>
      <c r="B606" s="93"/>
      <c r="C606" s="93"/>
      <c r="D606" s="93"/>
      <c r="E606" s="94"/>
      <c r="F606" s="93"/>
      <c r="G606" s="93"/>
      <c r="H606" s="93"/>
      <c r="I606" s="43" t="str">
        <f>IF(AND(A606&gt;=Dashboard!$B$2,A606&lt;EDATE(Dashboard!$B$2,1),D606&lt;&gt;""),E606,"")</f>
        <v/>
      </c>
      <c r="J606" s="43" t="str">
        <f t="shared" si="1"/>
        <v/>
      </c>
    </row>
    <row r="607" ht="15.75" customHeight="1">
      <c r="A607" s="99"/>
      <c r="B607" s="93"/>
      <c r="C607" s="93"/>
      <c r="D607" s="93"/>
      <c r="E607" s="94"/>
      <c r="F607" s="93"/>
      <c r="G607" s="93"/>
      <c r="H607" s="93"/>
      <c r="I607" s="43" t="str">
        <f>IF(AND(A607&gt;=Dashboard!$B$2,A607&lt;EDATE(Dashboard!$B$2,1),D607&lt;&gt;""),E607,"")</f>
        <v/>
      </c>
      <c r="J607" s="43" t="str">
        <f t="shared" si="1"/>
        <v/>
      </c>
    </row>
    <row r="608" ht="15.75" customHeight="1">
      <c r="A608" s="99"/>
      <c r="B608" s="93"/>
      <c r="C608" s="93"/>
      <c r="D608" s="93"/>
      <c r="E608" s="94"/>
      <c r="F608" s="93"/>
      <c r="G608" s="93"/>
      <c r="H608" s="93"/>
      <c r="I608" s="43" t="str">
        <f>IF(AND(A608&gt;=Dashboard!$B$2,A608&lt;EDATE(Dashboard!$B$2,1),D608&lt;&gt;""),E608,"")</f>
        <v/>
      </c>
      <c r="J608" s="43" t="str">
        <f t="shared" si="1"/>
        <v/>
      </c>
    </row>
    <row r="609" ht="15.75" customHeight="1">
      <c r="A609" s="99"/>
      <c r="B609" s="93"/>
      <c r="C609" s="93"/>
      <c r="D609" s="93"/>
      <c r="E609" s="94"/>
      <c r="F609" s="93"/>
      <c r="G609" s="93"/>
      <c r="H609" s="93"/>
      <c r="I609" s="43" t="str">
        <f>IF(AND(A609&gt;=Dashboard!$B$2,A609&lt;EDATE(Dashboard!$B$2,1),D609&lt;&gt;""),E609,"")</f>
        <v/>
      </c>
      <c r="J609" s="43" t="str">
        <f t="shared" si="1"/>
        <v/>
      </c>
    </row>
    <row r="610" ht="15.75" customHeight="1">
      <c r="A610" s="99"/>
      <c r="B610" s="93"/>
      <c r="C610" s="93"/>
      <c r="D610" s="93"/>
      <c r="E610" s="94"/>
      <c r="F610" s="93"/>
      <c r="G610" s="93"/>
      <c r="H610" s="93"/>
      <c r="I610" s="43" t="str">
        <f>IF(AND(A610&gt;=Dashboard!$B$2,A610&lt;EDATE(Dashboard!$B$2,1),D610&lt;&gt;""),E610,"")</f>
        <v/>
      </c>
      <c r="J610" s="43" t="str">
        <f t="shared" si="1"/>
        <v/>
      </c>
    </row>
    <row r="611" ht="15.75" customHeight="1">
      <c r="A611" s="99"/>
      <c r="B611" s="93"/>
      <c r="C611" s="93"/>
      <c r="D611" s="93"/>
      <c r="E611" s="94"/>
      <c r="F611" s="93"/>
      <c r="G611" s="93"/>
      <c r="H611" s="93"/>
      <c r="I611" s="43" t="str">
        <f>IF(AND(A611&gt;=Dashboard!$B$2,A611&lt;EDATE(Dashboard!$B$2,1),D611&lt;&gt;""),E611,"")</f>
        <v/>
      </c>
      <c r="J611" s="43" t="str">
        <f t="shared" si="1"/>
        <v/>
      </c>
    </row>
    <row r="612" ht="15.75" customHeight="1">
      <c r="A612" s="99"/>
      <c r="B612" s="93"/>
      <c r="C612" s="93"/>
      <c r="D612" s="93"/>
      <c r="E612" s="94"/>
      <c r="F612" s="93"/>
      <c r="G612" s="93"/>
      <c r="H612" s="93"/>
      <c r="I612" s="43" t="str">
        <f>IF(AND(A612&gt;=Dashboard!$B$2,A612&lt;EDATE(Dashboard!$B$2,1),D612&lt;&gt;""),E612,"")</f>
        <v/>
      </c>
      <c r="J612" s="43" t="str">
        <f t="shared" si="1"/>
        <v/>
      </c>
    </row>
    <row r="613" ht="15.75" customHeight="1">
      <c r="A613" s="99"/>
      <c r="B613" s="93"/>
      <c r="C613" s="93"/>
      <c r="D613" s="93"/>
      <c r="E613" s="94"/>
      <c r="F613" s="93"/>
      <c r="G613" s="93"/>
      <c r="H613" s="93"/>
      <c r="I613" s="43" t="str">
        <f>IF(AND(A613&gt;=Dashboard!$B$2,A613&lt;EDATE(Dashboard!$B$2,1),D613&lt;&gt;""),E613,"")</f>
        <v/>
      </c>
      <c r="J613" s="43" t="str">
        <f t="shared" si="1"/>
        <v/>
      </c>
    </row>
    <row r="614" ht="15.75" customHeight="1">
      <c r="A614" s="99"/>
      <c r="B614" s="93"/>
      <c r="C614" s="93"/>
      <c r="D614" s="93"/>
      <c r="E614" s="94"/>
      <c r="F614" s="93"/>
      <c r="G614" s="93"/>
      <c r="H614" s="93"/>
      <c r="I614" s="43" t="str">
        <f>IF(AND(A614&gt;=Dashboard!$B$2,A614&lt;EDATE(Dashboard!$B$2,1),D614&lt;&gt;""),E614,"")</f>
        <v/>
      </c>
      <c r="J614" s="43" t="str">
        <f t="shared" si="1"/>
        <v/>
      </c>
    </row>
    <row r="615" ht="15.75" customHeight="1">
      <c r="A615" s="99"/>
      <c r="B615" s="93"/>
      <c r="C615" s="93"/>
      <c r="D615" s="93"/>
      <c r="E615" s="94"/>
      <c r="F615" s="93"/>
      <c r="G615" s="93"/>
      <c r="H615" s="93"/>
      <c r="I615" s="43" t="str">
        <f>IF(AND(A615&gt;=Dashboard!$B$2,A615&lt;EDATE(Dashboard!$B$2,1),D615&lt;&gt;""),E615,"")</f>
        <v/>
      </c>
      <c r="J615" s="43" t="str">
        <f t="shared" si="1"/>
        <v/>
      </c>
    </row>
    <row r="616" ht="15.75" customHeight="1">
      <c r="A616" s="99"/>
      <c r="B616" s="93"/>
      <c r="C616" s="93"/>
      <c r="D616" s="93"/>
      <c r="E616" s="94"/>
      <c r="F616" s="93"/>
      <c r="G616" s="93"/>
      <c r="H616" s="93"/>
      <c r="I616" s="43" t="str">
        <f>IF(AND(A616&gt;=Dashboard!$B$2,A616&lt;EDATE(Dashboard!$B$2,1),D616&lt;&gt;""),E616,"")</f>
        <v/>
      </c>
      <c r="J616" s="43" t="str">
        <f t="shared" si="1"/>
        <v/>
      </c>
    </row>
    <row r="617" ht="15.75" customHeight="1">
      <c r="A617" s="99"/>
      <c r="B617" s="93"/>
      <c r="C617" s="93"/>
      <c r="D617" s="93"/>
      <c r="E617" s="94"/>
      <c r="F617" s="93"/>
      <c r="G617" s="93"/>
      <c r="H617" s="93"/>
      <c r="I617" s="43" t="str">
        <f>IF(AND(A617&gt;=Dashboard!$B$2,A617&lt;EDATE(Dashboard!$B$2,1),D617&lt;&gt;""),E617,"")</f>
        <v/>
      </c>
      <c r="J617" s="43" t="str">
        <f t="shared" si="1"/>
        <v/>
      </c>
    </row>
    <row r="618" ht="15.75" customHeight="1">
      <c r="A618" s="99"/>
      <c r="B618" s="93"/>
      <c r="C618" s="93"/>
      <c r="D618" s="93"/>
      <c r="E618" s="94"/>
      <c r="F618" s="93"/>
      <c r="G618" s="93"/>
      <c r="H618" s="93"/>
      <c r="I618" s="43" t="str">
        <f>IF(AND(A618&gt;=Dashboard!$B$2,A618&lt;EDATE(Dashboard!$B$2,1),D618&lt;&gt;""),E618,"")</f>
        <v/>
      </c>
      <c r="J618" s="43" t="str">
        <f t="shared" si="1"/>
        <v/>
      </c>
    </row>
    <row r="619" ht="15.75" customHeight="1">
      <c r="A619" s="99"/>
      <c r="B619" s="93"/>
      <c r="C619" s="93"/>
      <c r="D619" s="93"/>
      <c r="E619" s="94"/>
      <c r="F619" s="93"/>
      <c r="G619" s="93"/>
      <c r="H619" s="93"/>
      <c r="I619" s="43" t="str">
        <f>IF(AND(A619&gt;=Dashboard!$B$2,A619&lt;EDATE(Dashboard!$B$2,1),D619&lt;&gt;""),E619,"")</f>
        <v/>
      </c>
      <c r="J619" s="43" t="str">
        <f t="shared" si="1"/>
        <v/>
      </c>
    </row>
    <row r="620" ht="15.75" customHeight="1">
      <c r="A620" s="99"/>
      <c r="B620" s="93"/>
      <c r="C620" s="93"/>
      <c r="D620" s="93"/>
      <c r="E620" s="94"/>
      <c r="F620" s="93"/>
      <c r="G620" s="93"/>
      <c r="H620" s="93"/>
      <c r="I620" s="43" t="str">
        <f>IF(AND(A620&gt;=Dashboard!$B$2,A620&lt;EDATE(Dashboard!$B$2,1),D620&lt;&gt;""),E620,"")</f>
        <v/>
      </c>
      <c r="J620" s="43" t="str">
        <f t="shared" si="1"/>
        <v/>
      </c>
    </row>
    <row r="621" ht="15.75" customHeight="1">
      <c r="A621" s="99"/>
      <c r="B621" s="93"/>
      <c r="C621" s="93"/>
      <c r="D621" s="93"/>
      <c r="E621" s="94"/>
      <c r="F621" s="93"/>
      <c r="G621" s="93"/>
      <c r="H621" s="93"/>
      <c r="I621" s="43" t="str">
        <f>IF(AND(A621&gt;=Dashboard!$B$2,A621&lt;EDATE(Dashboard!$B$2,1),D621&lt;&gt;""),E621,"")</f>
        <v/>
      </c>
      <c r="J621" s="43" t="str">
        <f t="shared" si="1"/>
        <v/>
      </c>
    </row>
    <row r="622" ht="15.75" customHeight="1">
      <c r="A622" s="99"/>
      <c r="B622" s="93"/>
      <c r="C622" s="93"/>
      <c r="D622" s="93"/>
      <c r="E622" s="94"/>
      <c r="F622" s="93"/>
      <c r="G622" s="93"/>
      <c r="H622" s="93"/>
      <c r="I622" s="43" t="str">
        <f>IF(AND(A622&gt;=Dashboard!$B$2,A622&lt;EDATE(Dashboard!$B$2,1),D622&lt;&gt;""),E622,"")</f>
        <v/>
      </c>
      <c r="J622" s="43" t="str">
        <f t="shared" si="1"/>
        <v/>
      </c>
    </row>
    <row r="623" ht="15.75" customHeight="1">
      <c r="A623" s="99"/>
      <c r="B623" s="93"/>
      <c r="C623" s="93"/>
      <c r="D623" s="93"/>
      <c r="E623" s="94"/>
      <c r="F623" s="93"/>
      <c r="G623" s="93"/>
      <c r="H623" s="93"/>
      <c r="I623" s="43" t="str">
        <f>IF(AND(A623&gt;=Dashboard!$B$2,A623&lt;EDATE(Dashboard!$B$2,1),D623&lt;&gt;""),E623,"")</f>
        <v/>
      </c>
      <c r="J623" s="43" t="str">
        <f t="shared" si="1"/>
        <v/>
      </c>
    </row>
    <row r="624" ht="15.75" customHeight="1">
      <c r="A624" s="99"/>
      <c r="B624" s="93"/>
      <c r="C624" s="93"/>
      <c r="D624" s="93"/>
      <c r="E624" s="94"/>
      <c r="F624" s="93"/>
      <c r="G624" s="93"/>
      <c r="H624" s="93"/>
      <c r="I624" s="43" t="str">
        <f>IF(AND(A624&gt;=Dashboard!$B$2,A624&lt;EDATE(Dashboard!$B$2,1),D624&lt;&gt;""),E624,"")</f>
        <v/>
      </c>
      <c r="J624" s="43" t="str">
        <f t="shared" si="1"/>
        <v/>
      </c>
    </row>
    <row r="625" ht="15.75" customHeight="1">
      <c r="A625" s="99"/>
      <c r="B625" s="93"/>
      <c r="C625" s="93"/>
      <c r="D625" s="93"/>
      <c r="E625" s="94"/>
      <c r="F625" s="93"/>
      <c r="G625" s="93"/>
      <c r="H625" s="93"/>
      <c r="I625" s="43" t="str">
        <f>IF(AND(A625&gt;=Dashboard!$B$2,A625&lt;EDATE(Dashboard!$B$2,1),D625&lt;&gt;""),E625,"")</f>
        <v/>
      </c>
      <c r="J625" s="43" t="str">
        <f t="shared" si="1"/>
        <v/>
      </c>
    </row>
    <row r="626" ht="15.75" customHeight="1">
      <c r="A626" s="99"/>
      <c r="B626" s="93"/>
      <c r="C626" s="93"/>
      <c r="D626" s="93"/>
      <c r="E626" s="94"/>
      <c r="F626" s="93"/>
      <c r="G626" s="93"/>
      <c r="H626" s="93"/>
      <c r="I626" s="43" t="str">
        <f>IF(AND(A626&gt;=Dashboard!$B$2,A626&lt;EDATE(Dashboard!$B$2,1),D626&lt;&gt;""),E626,"")</f>
        <v/>
      </c>
      <c r="J626" s="43" t="str">
        <f t="shared" si="1"/>
        <v/>
      </c>
    </row>
    <row r="627" ht="15.75" customHeight="1">
      <c r="A627" s="99"/>
      <c r="B627" s="93"/>
      <c r="C627" s="93"/>
      <c r="D627" s="93"/>
      <c r="E627" s="94"/>
      <c r="F627" s="93"/>
      <c r="G627" s="93"/>
      <c r="H627" s="93"/>
      <c r="I627" s="43" t="str">
        <f>IF(AND(A627&gt;=Dashboard!$B$2,A627&lt;EDATE(Dashboard!$B$2,1),D627&lt;&gt;""),E627,"")</f>
        <v/>
      </c>
      <c r="J627" s="43" t="str">
        <f t="shared" si="1"/>
        <v/>
      </c>
    </row>
    <row r="628" ht="15.75" customHeight="1">
      <c r="A628" s="99"/>
      <c r="B628" s="93"/>
      <c r="C628" s="93"/>
      <c r="D628" s="93"/>
      <c r="E628" s="94"/>
      <c r="F628" s="93"/>
      <c r="G628" s="93"/>
      <c r="H628" s="93"/>
      <c r="I628" s="43" t="str">
        <f>IF(AND(A628&gt;=Dashboard!$B$2,A628&lt;EDATE(Dashboard!$B$2,1),D628&lt;&gt;""),E628,"")</f>
        <v/>
      </c>
      <c r="J628" s="43" t="str">
        <f t="shared" si="1"/>
        <v/>
      </c>
    </row>
    <row r="629" ht="15.75" customHeight="1">
      <c r="A629" s="99"/>
      <c r="B629" s="93"/>
      <c r="C629" s="93"/>
      <c r="D629" s="93"/>
      <c r="E629" s="94"/>
      <c r="F629" s="93"/>
      <c r="G629" s="93"/>
      <c r="H629" s="93"/>
      <c r="I629" s="43" t="str">
        <f>IF(AND(A629&gt;=Dashboard!$B$2,A629&lt;EDATE(Dashboard!$B$2,1),D629&lt;&gt;""),E629,"")</f>
        <v/>
      </c>
      <c r="J629" s="43" t="str">
        <f t="shared" si="1"/>
        <v/>
      </c>
    </row>
    <row r="630" ht="15.75" customHeight="1">
      <c r="A630" s="99"/>
      <c r="B630" s="93"/>
      <c r="C630" s="93"/>
      <c r="D630" s="93"/>
      <c r="E630" s="94"/>
      <c r="F630" s="93"/>
      <c r="G630" s="93"/>
      <c r="H630" s="93"/>
      <c r="I630" s="43" t="str">
        <f>IF(AND(A630&gt;=Dashboard!$B$2,A630&lt;EDATE(Dashboard!$B$2,1),D630&lt;&gt;""),E630,"")</f>
        <v/>
      </c>
      <c r="J630" s="43" t="str">
        <f t="shared" si="1"/>
        <v/>
      </c>
    </row>
    <row r="631" ht="15.75" customHeight="1">
      <c r="A631" s="99"/>
      <c r="B631" s="93"/>
      <c r="C631" s="93"/>
      <c r="D631" s="93"/>
      <c r="E631" s="94"/>
      <c r="F631" s="93"/>
      <c r="G631" s="93"/>
      <c r="H631" s="93"/>
      <c r="I631" s="43" t="str">
        <f>IF(AND(A631&gt;=Dashboard!$B$2,A631&lt;EDATE(Dashboard!$B$2,1),D631&lt;&gt;""),E631,"")</f>
        <v/>
      </c>
      <c r="J631" s="43" t="str">
        <f t="shared" si="1"/>
        <v/>
      </c>
    </row>
    <row r="632" ht="15.75" customHeight="1">
      <c r="A632" s="99"/>
      <c r="B632" s="93"/>
      <c r="C632" s="93"/>
      <c r="D632" s="93"/>
      <c r="E632" s="94"/>
      <c r="F632" s="93"/>
      <c r="G632" s="93"/>
      <c r="H632" s="93"/>
      <c r="I632" s="43" t="str">
        <f>IF(AND(A632&gt;=Dashboard!$B$2,A632&lt;EDATE(Dashboard!$B$2,1),D632&lt;&gt;""),E632,"")</f>
        <v/>
      </c>
      <c r="J632" s="43" t="str">
        <f t="shared" si="1"/>
        <v/>
      </c>
    </row>
    <row r="633" ht="15.75" customHeight="1">
      <c r="A633" s="99"/>
      <c r="B633" s="93"/>
      <c r="C633" s="93"/>
      <c r="D633" s="93"/>
      <c r="E633" s="94"/>
      <c r="F633" s="93"/>
      <c r="G633" s="93"/>
      <c r="H633" s="93"/>
      <c r="I633" s="43" t="str">
        <f>IF(AND(A633&gt;=Dashboard!$B$2,A633&lt;EDATE(Dashboard!$B$2,1),D633&lt;&gt;""),E633,"")</f>
        <v/>
      </c>
      <c r="J633" s="43" t="str">
        <f t="shared" si="1"/>
        <v/>
      </c>
    </row>
    <row r="634" ht="15.75" customHeight="1">
      <c r="A634" s="99"/>
      <c r="B634" s="93"/>
      <c r="C634" s="93"/>
      <c r="D634" s="93"/>
      <c r="E634" s="94"/>
      <c r="F634" s="93"/>
      <c r="G634" s="93"/>
      <c r="H634" s="93"/>
      <c r="I634" s="43" t="str">
        <f>IF(AND(A634&gt;=Dashboard!$B$2,A634&lt;EDATE(Dashboard!$B$2,1),D634&lt;&gt;""),E634,"")</f>
        <v/>
      </c>
      <c r="J634" s="43" t="str">
        <f t="shared" si="1"/>
        <v/>
      </c>
    </row>
    <row r="635" ht="15.75" customHeight="1">
      <c r="A635" s="99"/>
      <c r="B635" s="93"/>
      <c r="C635" s="93"/>
      <c r="D635" s="93"/>
      <c r="E635" s="94"/>
      <c r="F635" s="93"/>
      <c r="G635" s="93"/>
      <c r="H635" s="93"/>
      <c r="I635" s="43" t="str">
        <f>IF(AND(A635&gt;=Dashboard!$B$2,A635&lt;EDATE(Dashboard!$B$2,1),D635&lt;&gt;""),E635,"")</f>
        <v/>
      </c>
      <c r="J635" s="43" t="str">
        <f t="shared" si="1"/>
        <v/>
      </c>
    </row>
    <row r="636" ht="15.75" customHeight="1">
      <c r="A636" s="99"/>
      <c r="B636" s="93"/>
      <c r="C636" s="93"/>
      <c r="D636" s="93"/>
      <c r="E636" s="94"/>
      <c r="F636" s="93"/>
      <c r="G636" s="93"/>
      <c r="H636" s="93"/>
      <c r="I636" s="43" t="str">
        <f>IF(AND(A636&gt;=Dashboard!$B$2,A636&lt;EDATE(Dashboard!$B$2,1),D636&lt;&gt;""),E636,"")</f>
        <v/>
      </c>
      <c r="J636" s="43" t="str">
        <f t="shared" si="1"/>
        <v/>
      </c>
    </row>
    <row r="637" ht="15.75" customHeight="1">
      <c r="A637" s="99"/>
      <c r="B637" s="93"/>
      <c r="C637" s="93"/>
      <c r="D637" s="93"/>
      <c r="E637" s="94"/>
      <c r="F637" s="93"/>
      <c r="G637" s="93"/>
      <c r="H637" s="93"/>
      <c r="I637" s="43" t="str">
        <f>IF(AND(A637&gt;=Dashboard!$B$2,A637&lt;EDATE(Dashboard!$B$2,1),D637&lt;&gt;""),E637,"")</f>
        <v/>
      </c>
      <c r="J637" s="43" t="str">
        <f t="shared" si="1"/>
        <v/>
      </c>
    </row>
    <row r="638" ht="15.75" customHeight="1">
      <c r="A638" s="99"/>
      <c r="B638" s="93"/>
      <c r="C638" s="93"/>
      <c r="D638" s="93"/>
      <c r="E638" s="94"/>
      <c r="F638" s="93"/>
      <c r="G638" s="93"/>
      <c r="H638" s="93"/>
      <c r="I638" s="43" t="str">
        <f>IF(AND(A638&gt;=Dashboard!$B$2,A638&lt;EDATE(Dashboard!$B$2,1),D638&lt;&gt;""),E638,"")</f>
        <v/>
      </c>
      <c r="J638" s="43" t="str">
        <f t="shared" si="1"/>
        <v/>
      </c>
    </row>
    <row r="639" ht="15.75" customHeight="1">
      <c r="A639" s="99"/>
      <c r="B639" s="93"/>
      <c r="C639" s="93"/>
      <c r="D639" s="93"/>
      <c r="E639" s="94"/>
      <c r="F639" s="93"/>
      <c r="G639" s="93"/>
      <c r="H639" s="93"/>
      <c r="I639" s="43" t="str">
        <f>IF(AND(A639&gt;=Dashboard!$B$2,A639&lt;EDATE(Dashboard!$B$2,1),D639&lt;&gt;""),E639,"")</f>
        <v/>
      </c>
      <c r="J639" s="43" t="str">
        <f t="shared" si="1"/>
        <v/>
      </c>
    </row>
    <row r="640" ht="15.75" customHeight="1">
      <c r="A640" s="99"/>
      <c r="B640" s="93"/>
      <c r="C640" s="93"/>
      <c r="D640" s="93"/>
      <c r="E640" s="94"/>
      <c r="F640" s="93"/>
      <c r="G640" s="93"/>
      <c r="H640" s="93"/>
      <c r="I640" s="43" t="str">
        <f>IF(AND(A640&gt;=Dashboard!$B$2,A640&lt;EDATE(Dashboard!$B$2,1),D640&lt;&gt;""),E640,"")</f>
        <v/>
      </c>
      <c r="J640" s="43" t="str">
        <f t="shared" si="1"/>
        <v/>
      </c>
    </row>
    <row r="641" ht="15.75" customHeight="1">
      <c r="A641" s="99"/>
      <c r="B641" s="93"/>
      <c r="C641" s="93"/>
      <c r="D641" s="93"/>
      <c r="E641" s="94"/>
      <c r="F641" s="93"/>
      <c r="G641" s="93"/>
      <c r="H641" s="93"/>
      <c r="I641" s="43" t="str">
        <f>IF(AND(A641&gt;=Dashboard!$B$2,A641&lt;EDATE(Dashboard!$B$2,1),D641&lt;&gt;""),E641,"")</f>
        <v/>
      </c>
      <c r="J641" s="43" t="str">
        <f t="shared" si="1"/>
        <v/>
      </c>
    </row>
    <row r="642" ht="15.75" customHeight="1">
      <c r="A642" s="99"/>
      <c r="B642" s="93"/>
      <c r="C642" s="93"/>
      <c r="D642" s="93"/>
      <c r="E642" s="94"/>
      <c r="F642" s="93"/>
      <c r="G642" s="93"/>
      <c r="H642" s="93"/>
      <c r="I642" s="43" t="str">
        <f>IF(AND(A642&gt;=Dashboard!$B$2,A642&lt;EDATE(Dashboard!$B$2,1),D642&lt;&gt;""),E642,"")</f>
        <v/>
      </c>
      <c r="J642" s="43" t="str">
        <f t="shared" si="1"/>
        <v/>
      </c>
    </row>
    <row r="643" ht="15.75" customHeight="1">
      <c r="A643" s="99"/>
      <c r="B643" s="93"/>
      <c r="C643" s="93"/>
      <c r="D643" s="93"/>
      <c r="E643" s="94"/>
      <c r="F643" s="93"/>
      <c r="G643" s="93"/>
      <c r="H643" s="93"/>
      <c r="I643" s="43" t="str">
        <f>IF(AND(A643&gt;=Dashboard!$B$2,A643&lt;EDATE(Dashboard!$B$2,1),D643&lt;&gt;""),E643,"")</f>
        <v/>
      </c>
      <c r="J643" s="43" t="str">
        <f t="shared" si="1"/>
        <v/>
      </c>
    </row>
    <row r="644" ht="15.75" customHeight="1">
      <c r="A644" s="99"/>
      <c r="B644" s="93"/>
      <c r="C644" s="93"/>
      <c r="D644" s="93"/>
      <c r="E644" s="94"/>
      <c r="F644" s="93"/>
      <c r="G644" s="93"/>
      <c r="H644" s="93"/>
      <c r="I644" s="43" t="str">
        <f>IF(AND(A644&gt;=Dashboard!$B$2,A644&lt;EDATE(Dashboard!$B$2,1),D644&lt;&gt;""),E644,"")</f>
        <v/>
      </c>
      <c r="J644" s="43" t="str">
        <f t="shared" si="1"/>
        <v/>
      </c>
    </row>
    <row r="645" ht="15.75" customHeight="1">
      <c r="A645" s="99"/>
      <c r="B645" s="93"/>
      <c r="C645" s="93"/>
      <c r="D645" s="93"/>
      <c r="E645" s="94"/>
      <c r="F645" s="93"/>
      <c r="G645" s="93"/>
      <c r="H645" s="93"/>
      <c r="I645" s="43" t="str">
        <f>IF(AND(A645&gt;=Dashboard!$B$2,A645&lt;EDATE(Dashboard!$B$2,1),D645&lt;&gt;""),E645,"")</f>
        <v/>
      </c>
      <c r="J645" s="43" t="str">
        <f t="shared" si="1"/>
        <v/>
      </c>
    </row>
    <row r="646" ht="15.75" customHeight="1">
      <c r="A646" s="99"/>
      <c r="B646" s="93"/>
      <c r="C646" s="93"/>
      <c r="D646" s="93"/>
      <c r="E646" s="94"/>
      <c r="F646" s="93"/>
      <c r="G646" s="93"/>
      <c r="H646" s="93"/>
      <c r="I646" s="43" t="str">
        <f>IF(AND(A646&gt;=Dashboard!$B$2,A646&lt;EDATE(Dashboard!$B$2,1),D646&lt;&gt;""),E646,"")</f>
        <v/>
      </c>
      <c r="J646" s="43" t="str">
        <f t="shared" si="1"/>
        <v/>
      </c>
    </row>
    <row r="647" ht="15.75" customHeight="1">
      <c r="A647" s="99"/>
      <c r="B647" s="93"/>
      <c r="C647" s="93"/>
      <c r="D647" s="93"/>
      <c r="E647" s="94"/>
      <c r="F647" s="93"/>
      <c r="G647" s="93"/>
      <c r="H647" s="93"/>
      <c r="I647" s="43" t="str">
        <f>IF(AND(A647&gt;=Dashboard!$B$2,A647&lt;EDATE(Dashboard!$B$2,1),D647&lt;&gt;""),E647,"")</f>
        <v/>
      </c>
      <c r="J647" s="43" t="str">
        <f t="shared" si="1"/>
        <v/>
      </c>
    </row>
    <row r="648" ht="15.75" customHeight="1">
      <c r="A648" s="99"/>
      <c r="B648" s="93"/>
      <c r="C648" s="93"/>
      <c r="D648" s="93"/>
      <c r="E648" s="94"/>
      <c r="F648" s="93"/>
      <c r="G648" s="93"/>
      <c r="H648" s="93"/>
      <c r="I648" s="43" t="str">
        <f>IF(AND(A648&gt;=Dashboard!$B$2,A648&lt;EDATE(Dashboard!$B$2,1),D648&lt;&gt;""),E648,"")</f>
        <v/>
      </c>
      <c r="J648" s="43" t="str">
        <f t="shared" si="1"/>
        <v/>
      </c>
    </row>
    <row r="649" ht="15.75" customHeight="1">
      <c r="A649" s="99"/>
      <c r="B649" s="93"/>
      <c r="C649" s="93"/>
      <c r="D649" s="93"/>
      <c r="E649" s="94"/>
      <c r="F649" s="93"/>
      <c r="G649" s="93"/>
      <c r="H649" s="93"/>
      <c r="I649" s="43" t="str">
        <f>IF(AND(A649&gt;=Dashboard!$B$2,A649&lt;EDATE(Dashboard!$B$2,1),D649&lt;&gt;""),E649,"")</f>
        <v/>
      </c>
      <c r="J649" s="43" t="str">
        <f t="shared" si="1"/>
        <v/>
      </c>
    </row>
    <row r="650" ht="15.75" customHeight="1">
      <c r="A650" s="99"/>
      <c r="B650" s="93"/>
      <c r="C650" s="93"/>
      <c r="D650" s="93"/>
      <c r="E650" s="94"/>
      <c r="F650" s="93"/>
      <c r="G650" s="93"/>
      <c r="H650" s="93"/>
      <c r="I650" s="43" t="str">
        <f>IF(AND(A650&gt;=Dashboard!$B$2,A650&lt;EDATE(Dashboard!$B$2,1),D650&lt;&gt;""),E650,"")</f>
        <v/>
      </c>
      <c r="J650" s="43" t="str">
        <f t="shared" si="1"/>
        <v/>
      </c>
    </row>
    <row r="651" ht="15.75" customHeight="1">
      <c r="A651" s="99"/>
      <c r="B651" s="93"/>
      <c r="C651" s="93"/>
      <c r="D651" s="93"/>
      <c r="E651" s="94"/>
      <c r="F651" s="93"/>
      <c r="G651" s="93"/>
      <c r="H651" s="93"/>
      <c r="I651" s="43" t="str">
        <f>IF(AND(A651&gt;=Dashboard!$B$2,A651&lt;EDATE(Dashboard!$B$2,1),D651&lt;&gt;""),E651,"")</f>
        <v/>
      </c>
      <c r="J651" s="43" t="str">
        <f t="shared" si="1"/>
        <v/>
      </c>
    </row>
    <row r="652" ht="15.75" customHeight="1">
      <c r="A652" s="99"/>
      <c r="B652" s="93"/>
      <c r="C652" s="93"/>
      <c r="D652" s="93"/>
      <c r="E652" s="94"/>
      <c r="F652" s="93"/>
      <c r="G652" s="93"/>
      <c r="H652" s="93"/>
      <c r="I652" s="43" t="str">
        <f>IF(AND(A652&gt;=Dashboard!$B$2,A652&lt;EDATE(Dashboard!$B$2,1),D652&lt;&gt;""),E652,"")</f>
        <v/>
      </c>
      <c r="J652" s="43" t="str">
        <f t="shared" si="1"/>
        <v/>
      </c>
    </row>
    <row r="653" ht="15.75" customHeight="1">
      <c r="A653" s="99"/>
      <c r="B653" s="93"/>
      <c r="C653" s="93"/>
      <c r="D653" s="93"/>
      <c r="E653" s="94"/>
      <c r="F653" s="93"/>
      <c r="G653" s="93"/>
      <c r="H653" s="93"/>
      <c r="I653" s="43" t="str">
        <f>IF(AND(A653&gt;=Dashboard!$B$2,A653&lt;EDATE(Dashboard!$B$2,1),D653&lt;&gt;""),E653,"")</f>
        <v/>
      </c>
      <c r="J653" s="43" t="str">
        <f t="shared" si="1"/>
        <v/>
      </c>
    </row>
    <row r="654" ht="15.75" customHeight="1">
      <c r="A654" s="99"/>
      <c r="B654" s="93"/>
      <c r="C654" s="93"/>
      <c r="D654" s="93"/>
      <c r="E654" s="94"/>
      <c r="F654" s="93"/>
      <c r="G654" s="93"/>
      <c r="H654" s="93"/>
      <c r="I654" s="43" t="str">
        <f>IF(AND(A654&gt;=Dashboard!$B$2,A654&lt;EDATE(Dashboard!$B$2,1),D654&lt;&gt;""),E654,"")</f>
        <v/>
      </c>
      <c r="J654" s="43" t="str">
        <f t="shared" si="1"/>
        <v/>
      </c>
    </row>
    <row r="655" ht="15.75" customHeight="1">
      <c r="A655" s="99"/>
      <c r="B655" s="93"/>
      <c r="C655" s="93"/>
      <c r="D655" s="93"/>
      <c r="E655" s="94"/>
      <c r="F655" s="93"/>
      <c r="G655" s="93"/>
      <c r="H655" s="93"/>
      <c r="I655" s="43" t="str">
        <f>IF(AND(A655&gt;=Dashboard!$B$2,A655&lt;EDATE(Dashboard!$B$2,1),D655&lt;&gt;""),E655,"")</f>
        <v/>
      </c>
      <c r="J655" s="43" t="str">
        <f t="shared" si="1"/>
        <v/>
      </c>
    </row>
    <row r="656" ht="15.75" customHeight="1">
      <c r="A656" s="99"/>
      <c r="B656" s="93"/>
      <c r="C656" s="93"/>
      <c r="D656" s="93"/>
      <c r="E656" s="94"/>
      <c r="F656" s="93"/>
      <c r="G656" s="93"/>
      <c r="H656" s="93"/>
      <c r="I656" s="43" t="str">
        <f>IF(AND(A656&gt;=Dashboard!$B$2,A656&lt;EDATE(Dashboard!$B$2,1),D656&lt;&gt;""),E656,"")</f>
        <v/>
      </c>
      <c r="J656" s="43" t="str">
        <f t="shared" si="1"/>
        <v/>
      </c>
    </row>
    <row r="657" ht="15.75" customHeight="1">
      <c r="A657" s="99"/>
      <c r="B657" s="93"/>
      <c r="C657" s="93"/>
      <c r="D657" s="93"/>
      <c r="E657" s="94"/>
      <c r="F657" s="93"/>
      <c r="G657" s="93"/>
      <c r="H657" s="93"/>
      <c r="I657" s="43" t="str">
        <f>IF(AND(A657&gt;=Dashboard!$B$2,A657&lt;EDATE(Dashboard!$B$2,1),D657&lt;&gt;""),E657,"")</f>
        <v/>
      </c>
      <c r="J657" s="43" t="str">
        <f t="shared" si="1"/>
        <v/>
      </c>
    </row>
    <row r="658" ht="15.75" customHeight="1">
      <c r="A658" s="99"/>
      <c r="B658" s="93"/>
      <c r="C658" s="93"/>
      <c r="D658" s="93"/>
      <c r="E658" s="94"/>
      <c r="F658" s="93"/>
      <c r="G658" s="93"/>
      <c r="H658" s="93"/>
      <c r="I658" s="43" t="str">
        <f>IF(AND(A658&gt;=Dashboard!$B$2,A658&lt;EDATE(Dashboard!$B$2,1),D658&lt;&gt;""),E658,"")</f>
        <v/>
      </c>
      <c r="J658" s="43" t="str">
        <f t="shared" si="1"/>
        <v/>
      </c>
    </row>
    <row r="659" ht="15.75" customHeight="1">
      <c r="A659" s="99"/>
      <c r="B659" s="93"/>
      <c r="C659" s="93"/>
      <c r="D659" s="93"/>
      <c r="E659" s="94"/>
      <c r="F659" s="93"/>
      <c r="G659" s="93"/>
      <c r="H659" s="93"/>
      <c r="I659" s="43" t="str">
        <f>IF(AND(A659&gt;=Dashboard!$B$2,A659&lt;EDATE(Dashboard!$B$2,1),D659&lt;&gt;""),E659,"")</f>
        <v/>
      </c>
      <c r="J659" s="43" t="str">
        <f t="shared" si="1"/>
        <v/>
      </c>
    </row>
    <row r="660" ht="15.75" customHeight="1">
      <c r="A660" s="99"/>
      <c r="B660" s="93"/>
      <c r="C660" s="93"/>
      <c r="D660" s="93"/>
      <c r="E660" s="94"/>
      <c r="F660" s="93"/>
      <c r="G660" s="93"/>
      <c r="H660" s="93"/>
      <c r="I660" s="43" t="str">
        <f>IF(AND(A660&gt;=Dashboard!$B$2,A660&lt;EDATE(Dashboard!$B$2,1),D660&lt;&gt;""),E660,"")</f>
        <v/>
      </c>
      <c r="J660" s="43" t="str">
        <f t="shared" si="1"/>
        <v/>
      </c>
    </row>
    <row r="661" ht="15.75" customHeight="1">
      <c r="A661" s="99"/>
      <c r="B661" s="93"/>
      <c r="C661" s="93"/>
      <c r="D661" s="93"/>
      <c r="E661" s="94"/>
      <c r="F661" s="93"/>
      <c r="G661" s="93"/>
      <c r="H661" s="93"/>
      <c r="I661" s="43" t="str">
        <f>IF(AND(A661&gt;=Dashboard!$B$2,A661&lt;EDATE(Dashboard!$B$2,1),D661&lt;&gt;""),E661,"")</f>
        <v/>
      </c>
      <c r="J661" s="43" t="str">
        <f t="shared" si="1"/>
        <v/>
      </c>
    </row>
    <row r="662" ht="15.75" customHeight="1">
      <c r="A662" s="99"/>
      <c r="B662" s="93"/>
      <c r="C662" s="93"/>
      <c r="D662" s="93"/>
      <c r="E662" s="94"/>
      <c r="F662" s="93"/>
      <c r="G662" s="93"/>
      <c r="H662" s="93"/>
      <c r="I662" s="43" t="str">
        <f>IF(AND(A662&gt;=Dashboard!$B$2,A662&lt;EDATE(Dashboard!$B$2,1),D662&lt;&gt;""),E662,"")</f>
        <v/>
      </c>
      <c r="J662" s="43" t="str">
        <f t="shared" si="1"/>
        <v/>
      </c>
    </row>
    <row r="663" ht="15.75" customHeight="1">
      <c r="A663" s="99"/>
      <c r="B663" s="93"/>
      <c r="C663" s="93"/>
      <c r="D663" s="93"/>
      <c r="E663" s="94"/>
      <c r="F663" s="93"/>
      <c r="G663" s="93"/>
      <c r="H663" s="93"/>
      <c r="I663" s="43" t="str">
        <f>IF(AND(A663&gt;=Dashboard!$B$2,A663&lt;EDATE(Dashboard!$B$2,1),D663&lt;&gt;""),E663,"")</f>
        <v/>
      </c>
      <c r="J663" s="43" t="str">
        <f t="shared" si="1"/>
        <v/>
      </c>
    </row>
    <row r="664" ht="15.75" customHeight="1">
      <c r="A664" s="99"/>
      <c r="B664" s="93"/>
      <c r="C664" s="93"/>
      <c r="D664" s="93"/>
      <c r="E664" s="94"/>
      <c r="F664" s="93"/>
      <c r="G664" s="93"/>
      <c r="H664" s="93"/>
      <c r="I664" s="43" t="str">
        <f>IF(AND(A664&gt;=Dashboard!$B$2,A664&lt;EDATE(Dashboard!$B$2,1),D664&lt;&gt;""),E664,"")</f>
        <v/>
      </c>
      <c r="J664" s="43" t="str">
        <f t="shared" si="1"/>
        <v/>
      </c>
    </row>
    <row r="665" ht="15.75" customHeight="1">
      <c r="A665" s="99"/>
      <c r="B665" s="93"/>
      <c r="C665" s="93"/>
      <c r="D665" s="93"/>
      <c r="E665" s="94"/>
      <c r="F665" s="93"/>
      <c r="G665" s="93"/>
      <c r="H665" s="93"/>
      <c r="I665" s="43" t="str">
        <f>IF(AND(A665&gt;=Dashboard!$B$2,A665&lt;EDATE(Dashboard!$B$2,1),D665&lt;&gt;""),E665,"")</f>
        <v/>
      </c>
      <c r="J665" s="43" t="str">
        <f t="shared" si="1"/>
        <v/>
      </c>
    </row>
    <row r="666" ht="15.75" customHeight="1">
      <c r="A666" s="99"/>
      <c r="B666" s="93"/>
      <c r="C666" s="93"/>
      <c r="D666" s="93"/>
      <c r="E666" s="94"/>
      <c r="F666" s="93"/>
      <c r="G666" s="93"/>
      <c r="H666" s="93"/>
      <c r="I666" s="43" t="str">
        <f>IF(AND(A666&gt;=Dashboard!$B$2,A666&lt;EDATE(Dashboard!$B$2,1),D666&lt;&gt;""),E666,"")</f>
        <v/>
      </c>
      <c r="J666" s="43" t="str">
        <f t="shared" si="1"/>
        <v/>
      </c>
    </row>
    <row r="667" ht="15.75" customHeight="1">
      <c r="A667" s="99"/>
      <c r="B667" s="93"/>
      <c r="C667" s="93"/>
      <c r="D667" s="93"/>
      <c r="E667" s="94"/>
      <c r="F667" s="93"/>
      <c r="G667" s="93"/>
      <c r="H667" s="93"/>
      <c r="I667" s="43" t="str">
        <f>IF(AND(A667&gt;=Dashboard!$B$2,A667&lt;EDATE(Dashboard!$B$2,1),D667&lt;&gt;""),E667,"")</f>
        <v/>
      </c>
      <c r="J667" s="43" t="str">
        <f t="shared" si="1"/>
        <v/>
      </c>
    </row>
    <row r="668" ht="15.75" customHeight="1">
      <c r="A668" s="99"/>
      <c r="B668" s="93"/>
      <c r="C668" s="93"/>
      <c r="D668" s="93"/>
      <c r="E668" s="94"/>
      <c r="F668" s="93"/>
      <c r="G668" s="93"/>
      <c r="H668" s="93"/>
      <c r="I668" s="43" t="str">
        <f>IF(AND(A668&gt;=Dashboard!$B$2,A668&lt;EDATE(Dashboard!$B$2,1),D668&lt;&gt;""),E668,"")</f>
        <v/>
      </c>
      <c r="J668" s="43" t="str">
        <f t="shared" si="1"/>
        <v/>
      </c>
    </row>
    <row r="669" ht="15.75" customHeight="1">
      <c r="A669" s="99"/>
      <c r="B669" s="93"/>
      <c r="C669" s="93"/>
      <c r="D669" s="93"/>
      <c r="E669" s="94"/>
      <c r="F669" s="93"/>
      <c r="G669" s="93"/>
      <c r="H669" s="93"/>
      <c r="I669" s="43" t="str">
        <f>IF(AND(A669&gt;=Dashboard!$B$2,A669&lt;EDATE(Dashboard!$B$2,1),D669&lt;&gt;""),E669,"")</f>
        <v/>
      </c>
      <c r="J669" s="43" t="str">
        <f t="shared" si="1"/>
        <v/>
      </c>
    </row>
    <row r="670" ht="15.75" customHeight="1">
      <c r="A670" s="99"/>
      <c r="B670" s="93"/>
      <c r="C670" s="93"/>
      <c r="D670" s="93"/>
      <c r="E670" s="94"/>
      <c r="F670" s="93"/>
      <c r="G670" s="93"/>
      <c r="H670" s="93"/>
      <c r="I670" s="43" t="str">
        <f>IF(AND(A670&gt;=Dashboard!$B$2,A670&lt;EDATE(Dashboard!$B$2,1),D670&lt;&gt;""),E670,"")</f>
        <v/>
      </c>
      <c r="J670" s="43" t="str">
        <f t="shared" si="1"/>
        <v/>
      </c>
    </row>
    <row r="671" ht="15.75" customHeight="1">
      <c r="A671" s="99"/>
      <c r="B671" s="93"/>
      <c r="C671" s="93"/>
      <c r="D671" s="93"/>
      <c r="E671" s="94"/>
      <c r="F671" s="93"/>
      <c r="G671" s="93"/>
      <c r="H671" s="93"/>
      <c r="I671" s="43" t="str">
        <f>IF(AND(A671&gt;=Dashboard!$B$2,A671&lt;EDATE(Dashboard!$B$2,1),D671&lt;&gt;""),E671,"")</f>
        <v/>
      </c>
      <c r="J671" s="43" t="str">
        <f t="shared" si="1"/>
        <v/>
      </c>
    </row>
    <row r="672" ht="15.75" customHeight="1">
      <c r="A672" s="99"/>
      <c r="B672" s="93"/>
      <c r="C672" s="93"/>
      <c r="D672" s="93"/>
      <c r="E672" s="94"/>
      <c r="F672" s="93"/>
      <c r="G672" s="93"/>
      <c r="H672" s="93"/>
      <c r="I672" s="43" t="str">
        <f>IF(AND(A672&gt;=Dashboard!$B$2,A672&lt;EDATE(Dashboard!$B$2,1),D672&lt;&gt;""),E672,"")</f>
        <v/>
      </c>
      <c r="J672" s="43" t="str">
        <f t="shared" si="1"/>
        <v/>
      </c>
    </row>
    <row r="673" ht="15.75" customHeight="1">
      <c r="A673" s="99"/>
      <c r="B673" s="93"/>
      <c r="C673" s="93"/>
      <c r="D673" s="93"/>
      <c r="E673" s="94"/>
      <c r="F673" s="93"/>
      <c r="G673" s="93"/>
      <c r="H673" s="93"/>
      <c r="I673" s="43" t="str">
        <f>IF(AND(A673&gt;=Dashboard!$B$2,A673&lt;EDATE(Dashboard!$B$2,1),D673&lt;&gt;""),E673,"")</f>
        <v/>
      </c>
      <c r="J673" s="43" t="str">
        <f t="shared" si="1"/>
        <v/>
      </c>
    </row>
    <row r="674" ht="15.75" customHeight="1">
      <c r="A674" s="99"/>
      <c r="B674" s="93"/>
      <c r="C674" s="93"/>
      <c r="D674" s="93"/>
      <c r="E674" s="94"/>
      <c r="F674" s="93"/>
      <c r="G674" s="93"/>
      <c r="H674" s="93"/>
      <c r="I674" s="43" t="str">
        <f>IF(AND(A674&gt;=Dashboard!$B$2,A674&lt;EDATE(Dashboard!$B$2,1),D674&lt;&gt;""),E674,"")</f>
        <v/>
      </c>
      <c r="J674" s="43" t="str">
        <f t="shared" si="1"/>
        <v/>
      </c>
    </row>
    <row r="675" ht="15.75" customHeight="1">
      <c r="A675" s="99"/>
      <c r="B675" s="93"/>
      <c r="C675" s="93"/>
      <c r="D675" s="93"/>
      <c r="E675" s="94"/>
      <c r="F675" s="93"/>
      <c r="G675" s="93"/>
      <c r="H675" s="93"/>
      <c r="I675" s="43" t="str">
        <f>IF(AND(A675&gt;=Dashboard!$B$2,A675&lt;EDATE(Dashboard!$B$2,1),D675&lt;&gt;""),E675,"")</f>
        <v/>
      </c>
      <c r="J675" s="43" t="str">
        <f t="shared" si="1"/>
        <v/>
      </c>
    </row>
    <row r="676" ht="15.75" customHeight="1">
      <c r="A676" s="99"/>
      <c r="B676" s="93"/>
      <c r="C676" s="93"/>
      <c r="D676" s="93"/>
      <c r="E676" s="94"/>
      <c r="F676" s="93"/>
      <c r="G676" s="93"/>
      <c r="H676" s="93"/>
      <c r="I676" s="43" t="str">
        <f>IF(AND(A676&gt;=Dashboard!$B$2,A676&lt;EDATE(Dashboard!$B$2,1),D676&lt;&gt;""),E676,"")</f>
        <v/>
      </c>
      <c r="J676" s="43" t="str">
        <f t="shared" si="1"/>
        <v/>
      </c>
    </row>
    <row r="677" ht="15.75" customHeight="1">
      <c r="A677" s="99"/>
      <c r="B677" s="93"/>
      <c r="C677" s="93"/>
      <c r="D677" s="93"/>
      <c r="E677" s="94"/>
      <c r="F677" s="93"/>
      <c r="G677" s="93"/>
      <c r="H677" s="93"/>
      <c r="I677" s="43" t="str">
        <f>IF(AND(A677&gt;=Dashboard!$B$2,A677&lt;EDATE(Dashboard!$B$2,1),D677&lt;&gt;""),E677,"")</f>
        <v/>
      </c>
      <c r="J677" s="43" t="str">
        <f t="shared" si="1"/>
        <v/>
      </c>
    </row>
    <row r="678" ht="15.75" customHeight="1">
      <c r="A678" s="99"/>
      <c r="B678" s="93"/>
      <c r="C678" s="93"/>
      <c r="D678" s="93"/>
      <c r="E678" s="94"/>
      <c r="F678" s="93"/>
      <c r="G678" s="93"/>
      <c r="H678" s="93"/>
      <c r="I678" s="43" t="str">
        <f>IF(AND(A678&gt;=Dashboard!$B$2,A678&lt;EDATE(Dashboard!$B$2,1),D678&lt;&gt;""),E678,"")</f>
        <v/>
      </c>
      <c r="J678" s="43" t="str">
        <f t="shared" si="1"/>
        <v/>
      </c>
    </row>
    <row r="679" ht="15.75" customHeight="1">
      <c r="A679" s="99"/>
      <c r="B679" s="93"/>
      <c r="C679" s="93"/>
      <c r="D679" s="93"/>
      <c r="E679" s="94"/>
      <c r="F679" s="93"/>
      <c r="G679" s="93"/>
      <c r="H679" s="93"/>
      <c r="I679" s="43" t="str">
        <f>IF(AND(A679&gt;=Dashboard!$B$2,A679&lt;EDATE(Dashboard!$B$2,1),D679&lt;&gt;""),E679,"")</f>
        <v/>
      </c>
      <c r="J679" s="43" t="str">
        <f t="shared" si="1"/>
        <v/>
      </c>
    </row>
    <row r="680" ht="15.75" customHeight="1">
      <c r="A680" s="99"/>
      <c r="B680" s="93"/>
      <c r="C680" s="93"/>
      <c r="D680" s="93"/>
      <c r="E680" s="94"/>
      <c r="F680" s="93"/>
      <c r="G680" s="93"/>
      <c r="H680" s="93"/>
      <c r="I680" s="43" t="str">
        <f>IF(AND(A680&gt;=Dashboard!$B$2,A680&lt;EDATE(Dashboard!$B$2,1),D680&lt;&gt;""),E680,"")</f>
        <v/>
      </c>
      <c r="J680" s="43" t="str">
        <f t="shared" si="1"/>
        <v/>
      </c>
    </row>
    <row r="681" ht="15.75" customHeight="1">
      <c r="A681" s="99"/>
      <c r="B681" s="93"/>
      <c r="C681" s="93"/>
      <c r="D681" s="93"/>
      <c r="E681" s="94"/>
      <c r="F681" s="93"/>
      <c r="G681" s="93"/>
      <c r="H681" s="93"/>
      <c r="I681" s="43" t="str">
        <f>IF(AND(A681&gt;=Dashboard!$B$2,A681&lt;EDATE(Dashboard!$B$2,1),D681&lt;&gt;""),E681,"")</f>
        <v/>
      </c>
      <c r="J681" s="43" t="str">
        <f t="shared" si="1"/>
        <v/>
      </c>
    </row>
    <row r="682" ht="15.75" customHeight="1">
      <c r="A682" s="99"/>
      <c r="B682" s="93"/>
      <c r="C682" s="93"/>
      <c r="D682" s="93"/>
      <c r="E682" s="94"/>
      <c r="F682" s="93"/>
      <c r="G682" s="93"/>
      <c r="H682" s="93"/>
      <c r="I682" s="43" t="str">
        <f>IF(AND(A682&gt;=Dashboard!$B$2,A682&lt;EDATE(Dashboard!$B$2,1),D682&lt;&gt;""),E682,"")</f>
        <v/>
      </c>
      <c r="J682" s="43" t="str">
        <f t="shared" si="1"/>
        <v/>
      </c>
    </row>
    <row r="683" ht="15.75" customHeight="1">
      <c r="A683" s="99"/>
      <c r="B683" s="93"/>
      <c r="C683" s="93"/>
      <c r="D683" s="93"/>
      <c r="E683" s="94"/>
      <c r="F683" s="93"/>
      <c r="G683" s="93"/>
      <c r="H683" s="93"/>
      <c r="I683" s="43" t="str">
        <f>IF(AND(A683&gt;=Dashboard!$B$2,A683&lt;EDATE(Dashboard!$B$2,1),D683&lt;&gt;""),E683,"")</f>
        <v/>
      </c>
      <c r="J683" s="43" t="str">
        <f t="shared" si="1"/>
        <v/>
      </c>
    </row>
    <row r="684" ht="15.75" customHeight="1">
      <c r="A684" s="99"/>
      <c r="B684" s="93"/>
      <c r="C684" s="93"/>
      <c r="D684" s="93"/>
      <c r="E684" s="94"/>
      <c r="F684" s="93"/>
      <c r="G684" s="93"/>
      <c r="H684" s="93"/>
      <c r="I684" s="43" t="str">
        <f>IF(AND(A684&gt;=Dashboard!$B$2,A684&lt;EDATE(Dashboard!$B$2,1),D684&lt;&gt;""),E684,"")</f>
        <v/>
      </c>
      <c r="J684" s="43" t="str">
        <f t="shared" si="1"/>
        <v/>
      </c>
    </row>
    <row r="685" ht="15.75" customHeight="1">
      <c r="A685" s="99"/>
      <c r="B685" s="93"/>
      <c r="C685" s="93"/>
      <c r="D685" s="93"/>
      <c r="E685" s="94"/>
      <c r="F685" s="93"/>
      <c r="G685" s="93"/>
      <c r="H685" s="93"/>
      <c r="I685" s="43" t="str">
        <f>IF(AND(A685&gt;=Dashboard!$B$2,A685&lt;EDATE(Dashboard!$B$2,1),D685&lt;&gt;""),E685,"")</f>
        <v/>
      </c>
      <c r="J685" s="43" t="str">
        <f t="shared" si="1"/>
        <v/>
      </c>
    </row>
    <row r="686" ht="15.75" customHeight="1">
      <c r="A686" s="99"/>
      <c r="B686" s="93"/>
      <c r="C686" s="93"/>
      <c r="D686" s="93"/>
      <c r="E686" s="94"/>
      <c r="F686" s="93"/>
      <c r="G686" s="93"/>
      <c r="H686" s="93"/>
      <c r="I686" s="43" t="str">
        <f>IF(AND(A686&gt;=Dashboard!$B$2,A686&lt;EDATE(Dashboard!$B$2,1),D686&lt;&gt;""),E686,"")</f>
        <v/>
      </c>
      <c r="J686" s="43" t="str">
        <f t="shared" si="1"/>
        <v/>
      </c>
    </row>
    <row r="687" ht="15.75" customHeight="1">
      <c r="A687" s="99"/>
      <c r="B687" s="93"/>
      <c r="C687" s="93"/>
      <c r="D687" s="93"/>
      <c r="E687" s="94"/>
      <c r="F687" s="93"/>
      <c r="G687" s="93"/>
      <c r="H687" s="93"/>
      <c r="I687" s="43" t="str">
        <f>IF(AND(A687&gt;=Dashboard!$B$2,A687&lt;EDATE(Dashboard!$B$2,1),D687&lt;&gt;""),E687,"")</f>
        <v/>
      </c>
      <c r="J687" s="43" t="str">
        <f t="shared" si="1"/>
        <v/>
      </c>
    </row>
    <row r="688" ht="15.75" customHeight="1">
      <c r="A688" s="99"/>
      <c r="B688" s="93"/>
      <c r="C688" s="93"/>
      <c r="D688" s="93"/>
      <c r="E688" s="94"/>
      <c r="F688" s="93"/>
      <c r="G688" s="93"/>
      <c r="H688" s="93"/>
      <c r="I688" s="43" t="str">
        <f>IF(AND(A688&gt;=Dashboard!$B$2,A688&lt;EDATE(Dashboard!$B$2,1),D688&lt;&gt;""),E688,"")</f>
        <v/>
      </c>
      <c r="J688" s="43" t="str">
        <f t="shared" si="1"/>
        <v/>
      </c>
    </row>
    <row r="689" ht="15.75" customHeight="1">
      <c r="A689" s="99"/>
      <c r="B689" s="93"/>
      <c r="C689" s="93"/>
      <c r="D689" s="93"/>
      <c r="E689" s="94"/>
      <c r="F689" s="93"/>
      <c r="G689" s="93"/>
      <c r="H689" s="93"/>
      <c r="I689" s="43" t="str">
        <f>IF(AND(A689&gt;=Dashboard!$B$2,A689&lt;EDATE(Dashboard!$B$2,1),D689&lt;&gt;""),E689,"")</f>
        <v/>
      </c>
      <c r="J689" s="43" t="str">
        <f t="shared" si="1"/>
        <v/>
      </c>
    </row>
    <row r="690" ht="15.75" customHeight="1">
      <c r="A690" s="99"/>
      <c r="B690" s="93"/>
      <c r="C690" s="93"/>
      <c r="D690" s="93"/>
      <c r="E690" s="94"/>
      <c r="F690" s="93"/>
      <c r="G690" s="93"/>
      <c r="H690" s="93"/>
      <c r="I690" s="43" t="str">
        <f>IF(AND(A690&gt;=Dashboard!$B$2,A690&lt;EDATE(Dashboard!$B$2,1),D690&lt;&gt;""),E690,"")</f>
        <v/>
      </c>
      <c r="J690" s="43" t="str">
        <f t="shared" si="1"/>
        <v/>
      </c>
    </row>
    <row r="691" ht="15.75" customHeight="1">
      <c r="A691" s="99"/>
      <c r="B691" s="93"/>
      <c r="C691" s="93"/>
      <c r="D691" s="93"/>
      <c r="E691" s="94"/>
      <c r="F691" s="93"/>
      <c r="G691" s="93"/>
      <c r="H691" s="93"/>
      <c r="I691" s="43" t="str">
        <f>IF(AND(A691&gt;=Dashboard!$B$2,A691&lt;EDATE(Dashboard!$B$2,1),D691&lt;&gt;""),E691,"")</f>
        <v/>
      </c>
      <c r="J691" s="43" t="str">
        <f t="shared" si="1"/>
        <v/>
      </c>
    </row>
    <row r="692" ht="15.75" customHeight="1">
      <c r="A692" s="99"/>
      <c r="B692" s="93"/>
      <c r="C692" s="93"/>
      <c r="D692" s="93"/>
      <c r="E692" s="94"/>
      <c r="F692" s="93"/>
      <c r="G692" s="93"/>
      <c r="H692" s="93"/>
      <c r="I692" s="43" t="str">
        <f>IF(AND(A692&gt;=Dashboard!$B$2,A692&lt;EDATE(Dashboard!$B$2,1),D692&lt;&gt;""),E692,"")</f>
        <v/>
      </c>
      <c r="J692" s="43" t="str">
        <f t="shared" si="1"/>
        <v/>
      </c>
    </row>
    <row r="693" ht="15.75" customHeight="1">
      <c r="A693" s="99"/>
      <c r="B693" s="93"/>
      <c r="C693" s="93"/>
      <c r="D693" s="93"/>
      <c r="E693" s="94"/>
      <c r="F693" s="93"/>
      <c r="G693" s="93"/>
      <c r="H693" s="93"/>
      <c r="I693" s="43" t="str">
        <f>IF(AND(A693&gt;=Dashboard!$B$2,A693&lt;EDATE(Dashboard!$B$2,1),D693&lt;&gt;""),E693,"")</f>
        <v/>
      </c>
      <c r="J693" s="43" t="str">
        <f t="shared" si="1"/>
        <v/>
      </c>
    </row>
    <row r="694" ht="15.75" customHeight="1">
      <c r="A694" s="99"/>
      <c r="B694" s="93"/>
      <c r="C694" s="93"/>
      <c r="D694" s="93"/>
      <c r="E694" s="94"/>
      <c r="F694" s="93"/>
      <c r="G694" s="93"/>
      <c r="H694" s="93"/>
      <c r="I694" s="43" t="str">
        <f>IF(AND(A694&gt;=Dashboard!$B$2,A694&lt;EDATE(Dashboard!$B$2,1),D694&lt;&gt;""),E694,"")</f>
        <v/>
      </c>
      <c r="J694" s="43" t="str">
        <f t="shared" si="1"/>
        <v/>
      </c>
    </row>
    <row r="695" ht="15.75" customHeight="1">
      <c r="A695" s="99"/>
      <c r="B695" s="93"/>
      <c r="C695" s="93"/>
      <c r="D695" s="93"/>
      <c r="E695" s="94"/>
      <c r="F695" s="93"/>
      <c r="G695" s="93"/>
      <c r="H695" s="93"/>
      <c r="I695" s="43" t="str">
        <f>IF(AND(A695&gt;=Dashboard!$B$2,A695&lt;EDATE(Dashboard!$B$2,1),D695&lt;&gt;""),E695,"")</f>
        <v/>
      </c>
      <c r="J695" s="43" t="str">
        <f t="shared" si="1"/>
        <v/>
      </c>
    </row>
    <row r="696" ht="15.75" customHeight="1">
      <c r="A696" s="99"/>
      <c r="B696" s="93"/>
      <c r="C696" s="93"/>
      <c r="D696" s="93"/>
      <c r="E696" s="94"/>
      <c r="F696" s="93"/>
      <c r="G696" s="93"/>
      <c r="H696" s="93"/>
      <c r="I696" s="43" t="str">
        <f>IF(AND(A696&gt;=Dashboard!$B$2,A696&lt;EDATE(Dashboard!$B$2,1),D696&lt;&gt;""),E696,"")</f>
        <v/>
      </c>
      <c r="J696" s="43" t="str">
        <f t="shared" si="1"/>
        <v/>
      </c>
    </row>
    <row r="697" ht="15.75" customHeight="1">
      <c r="A697" s="99"/>
      <c r="B697" s="93"/>
      <c r="C697" s="93"/>
      <c r="D697" s="93"/>
      <c r="E697" s="94"/>
      <c r="F697" s="93"/>
      <c r="G697" s="93"/>
      <c r="H697" s="93"/>
      <c r="I697" s="43" t="str">
        <f>IF(AND(A697&gt;=Dashboard!$B$2,A697&lt;EDATE(Dashboard!$B$2,1),D697&lt;&gt;""),E697,"")</f>
        <v/>
      </c>
      <c r="J697" s="43" t="str">
        <f t="shared" si="1"/>
        <v/>
      </c>
    </row>
    <row r="698" ht="15.75" customHeight="1">
      <c r="A698" s="99"/>
      <c r="B698" s="93"/>
      <c r="C698" s="93"/>
      <c r="D698" s="93"/>
      <c r="E698" s="94"/>
      <c r="F698" s="93"/>
      <c r="G698" s="93"/>
      <c r="H698" s="93"/>
      <c r="I698" s="43" t="str">
        <f>IF(AND(A698&gt;=Dashboard!$B$2,A698&lt;EDATE(Dashboard!$B$2,1),D698&lt;&gt;""),E698,"")</f>
        <v/>
      </c>
      <c r="J698" s="43" t="str">
        <f t="shared" si="1"/>
        <v/>
      </c>
    </row>
    <row r="699" ht="15.75" customHeight="1">
      <c r="A699" s="99"/>
      <c r="B699" s="93"/>
      <c r="C699" s="93"/>
      <c r="D699" s="93"/>
      <c r="E699" s="94"/>
      <c r="F699" s="93"/>
      <c r="G699" s="93"/>
      <c r="H699" s="93"/>
      <c r="I699" s="43" t="str">
        <f>IF(AND(A699&gt;=Dashboard!$B$2,A699&lt;EDATE(Dashboard!$B$2,1),D699&lt;&gt;""),E699,"")</f>
        <v/>
      </c>
      <c r="J699" s="43" t="str">
        <f t="shared" si="1"/>
        <v/>
      </c>
    </row>
    <row r="700" ht="15.75" customHeight="1">
      <c r="A700" s="99"/>
      <c r="B700" s="93"/>
      <c r="C700" s="93"/>
      <c r="D700" s="93"/>
      <c r="E700" s="94"/>
      <c r="F700" s="93"/>
      <c r="G700" s="93"/>
      <c r="H700" s="93"/>
      <c r="I700" s="43" t="str">
        <f>IF(AND(A700&gt;=Dashboard!$B$2,A700&lt;EDATE(Dashboard!$B$2,1),D700&lt;&gt;""),E700,"")</f>
        <v/>
      </c>
      <c r="J700" s="43" t="str">
        <f t="shared" si="1"/>
        <v/>
      </c>
    </row>
    <row r="701" ht="15.75" customHeight="1">
      <c r="A701" s="99"/>
      <c r="B701" s="93"/>
      <c r="C701" s="93"/>
      <c r="D701" s="93"/>
      <c r="E701" s="94"/>
      <c r="F701" s="93"/>
      <c r="G701" s="93"/>
      <c r="H701" s="93"/>
      <c r="I701" s="43" t="str">
        <f>IF(AND(A701&gt;=Dashboard!$B$2,A701&lt;EDATE(Dashboard!$B$2,1),D701&lt;&gt;""),E701,"")</f>
        <v/>
      </c>
      <c r="J701" s="43" t="str">
        <f t="shared" si="1"/>
        <v/>
      </c>
    </row>
    <row r="702" ht="15.75" customHeight="1">
      <c r="A702" s="99"/>
      <c r="B702" s="93"/>
      <c r="C702" s="93"/>
      <c r="D702" s="93"/>
      <c r="E702" s="94"/>
      <c r="F702" s="93"/>
      <c r="G702" s="93"/>
      <c r="H702" s="93"/>
      <c r="I702" s="43" t="str">
        <f>IF(AND(A702&gt;=Dashboard!$B$2,A702&lt;EDATE(Dashboard!$B$2,1),D702&lt;&gt;""),E702,"")</f>
        <v/>
      </c>
      <c r="J702" s="43" t="str">
        <f t="shared" si="1"/>
        <v/>
      </c>
    </row>
    <row r="703" ht="15.75" customHeight="1">
      <c r="A703" s="99"/>
      <c r="B703" s="93"/>
      <c r="C703" s="93"/>
      <c r="D703" s="93"/>
      <c r="E703" s="94"/>
      <c r="F703" s="93"/>
      <c r="G703" s="93"/>
      <c r="H703" s="93"/>
      <c r="I703" s="43" t="str">
        <f>IF(AND(A703&gt;=Dashboard!$B$2,A703&lt;EDATE(Dashboard!$B$2,1),D703&lt;&gt;""),E703,"")</f>
        <v/>
      </c>
      <c r="J703" s="43" t="str">
        <f t="shared" si="1"/>
        <v/>
      </c>
    </row>
    <row r="704" ht="15.75" customHeight="1">
      <c r="A704" s="99"/>
      <c r="B704" s="93"/>
      <c r="C704" s="93"/>
      <c r="D704" s="93"/>
      <c r="E704" s="94"/>
      <c r="F704" s="93"/>
      <c r="G704" s="93"/>
      <c r="H704" s="93"/>
      <c r="I704" s="43" t="str">
        <f>IF(AND(A704&gt;=Dashboard!$B$2,A704&lt;EDATE(Dashboard!$B$2,1),D704&lt;&gt;""),E704,"")</f>
        <v/>
      </c>
      <c r="J704" s="43" t="str">
        <f t="shared" si="1"/>
        <v/>
      </c>
    </row>
    <row r="705" ht="15.75" customHeight="1">
      <c r="A705" s="99"/>
      <c r="B705" s="93"/>
      <c r="C705" s="93"/>
      <c r="D705" s="93"/>
      <c r="E705" s="94"/>
      <c r="F705" s="93"/>
      <c r="G705" s="93"/>
      <c r="H705" s="93"/>
      <c r="I705" s="43" t="str">
        <f>IF(AND(A705&gt;=Dashboard!$B$2,A705&lt;EDATE(Dashboard!$B$2,1),D705&lt;&gt;""),E705,"")</f>
        <v/>
      </c>
      <c r="J705" s="43" t="str">
        <f t="shared" si="1"/>
        <v/>
      </c>
    </row>
    <row r="706" ht="15.75" customHeight="1">
      <c r="A706" s="99"/>
      <c r="B706" s="93"/>
      <c r="C706" s="93"/>
      <c r="D706" s="93"/>
      <c r="E706" s="94"/>
      <c r="F706" s="93"/>
      <c r="G706" s="93"/>
      <c r="H706" s="93"/>
      <c r="I706" s="43" t="str">
        <f>IF(AND(A706&gt;=Dashboard!$B$2,A706&lt;EDATE(Dashboard!$B$2,1),D706&lt;&gt;""),E706,"")</f>
        <v/>
      </c>
      <c r="J706" s="43" t="str">
        <f t="shared" si="1"/>
        <v/>
      </c>
    </row>
    <row r="707" ht="15.75" customHeight="1">
      <c r="A707" s="99"/>
      <c r="B707" s="93"/>
      <c r="C707" s="93"/>
      <c r="D707" s="93"/>
      <c r="E707" s="94"/>
      <c r="F707" s="93"/>
      <c r="G707" s="93"/>
      <c r="H707" s="93"/>
      <c r="I707" s="43" t="str">
        <f>IF(AND(A707&gt;=Dashboard!$B$2,A707&lt;EDATE(Dashboard!$B$2,1),D707&lt;&gt;""),E707,"")</f>
        <v/>
      </c>
      <c r="J707" s="43" t="str">
        <f t="shared" si="1"/>
        <v/>
      </c>
    </row>
    <row r="708" ht="15.75" customHeight="1">
      <c r="A708" s="99"/>
      <c r="B708" s="93"/>
      <c r="C708" s="93"/>
      <c r="D708" s="93"/>
      <c r="E708" s="94"/>
      <c r="F708" s="93"/>
      <c r="G708" s="93"/>
      <c r="H708" s="93"/>
      <c r="I708" s="43" t="str">
        <f>IF(AND(A708&gt;=Dashboard!$B$2,A708&lt;EDATE(Dashboard!$B$2,1),D708&lt;&gt;""),E708,"")</f>
        <v/>
      </c>
      <c r="J708" s="43" t="str">
        <f t="shared" si="1"/>
        <v/>
      </c>
    </row>
    <row r="709" ht="15.75" customHeight="1">
      <c r="A709" s="99"/>
      <c r="B709" s="93"/>
      <c r="C709" s="93"/>
      <c r="D709" s="93"/>
      <c r="E709" s="94"/>
      <c r="F709" s="93"/>
      <c r="G709" s="93"/>
      <c r="H709" s="93"/>
      <c r="I709" s="43" t="str">
        <f>IF(AND(A709&gt;=Dashboard!$B$2,A709&lt;EDATE(Dashboard!$B$2,1),D709&lt;&gt;""),E709,"")</f>
        <v/>
      </c>
      <c r="J709" s="43" t="str">
        <f t="shared" si="1"/>
        <v/>
      </c>
    </row>
    <row r="710" ht="15.75" customHeight="1">
      <c r="A710" s="99"/>
      <c r="B710" s="93"/>
      <c r="C710" s="93"/>
      <c r="D710" s="93"/>
      <c r="E710" s="94"/>
      <c r="F710" s="93"/>
      <c r="G710" s="93"/>
      <c r="H710" s="93"/>
      <c r="I710" s="43" t="str">
        <f>IF(AND(A710&gt;=Dashboard!$B$2,A710&lt;EDATE(Dashboard!$B$2,1),D710&lt;&gt;""),E710,"")</f>
        <v/>
      </c>
      <c r="J710" s="43" t="str">
        <f t="shared" si="1"/>
        <v/>
      </c>
    </row>
    <row r="711" ht="15.75" customHeight="1">
      <c r="A711" s="99"/>
      <c r="B711" s="93"/>
      <c r="C711" s="93"/>
      <c r="D711" s="93"/>
      <c r="E711" s="94"/>
      <c r="F711" s="93"/>
      <c r="G711" s="93"/>
      <c r="H711" s="93"/>
      <c r="I711" s="43" t="str">
        <f>IF(AND(A711&gt;=Dashboard!$B$2,A711&lt;EDATE(Dashboard!$B$2,1),D711&lt;&gt;""),E711,"")</f>
        <v/>
      </c>
      <c r="J711" s="43" t="str">
        <f t="shared" si="1"/>
        <v/>
      </c>
    </row>
    <row r="712" ht="15.75" customHeight="1">
      <c r="A712" s="99"/>
      <c r="B712" s="93"/>
      <c r="C712" s="93"/>
      <c r="D712" s="93"/>
      <c r="E712" s="94"/>
      <c r="F712" s="93"/>
      <c r="G712" s="93"/>
      <c r="H712" s="93"/>
      <c r="I712" s="43" t="str">
        <f>IF(AND(A712&gt;=Dashboard!$B$2,A712&lt;EDATE(Dashboard!$B$2,1),D712&lt;&gt;""),E712,"")</f>
        <v/>
      </c>
      <c r="J712" s="43" t="str">
        <f t="shared" si="1"/>
        <v/>
      </c>
    </row>
    <row r="713" ht="15.75" customHeight="1">
      <c r="A713" s="99"/>
      <c r="B713" s="93"/>
      <c r="C713" s="93"/>
      <c r="D713" s="93"/>
      <c r="E713" s="94"/>
      <c r="F713" s="93"/>
      <c r="G713" s="93"/>
      <c r="H713" s="93"/>
      <c r="I713" s="43" t="str">
        <f>IF(AND(A713&gt;=Dashboard!$B$2,A713&lt;EDATE(Dashboard!$B$2,1),D713&lt;&gt;""),E713,"")</f>
        <v/>
      </c>
      <c r="J713" s="43" t="str">
        <f t="shared" si="1"/>
        <v/>
      </c>
    </row>
    <row r="714" ht="15.75" customHeight="1">
      <c r="A714" s="99"/>
      <c r="B714" s="93"/>
      <c r="C714" s="93"/>
      <c r="D714" s="93"/>
      <c r="E714" s="94"/>
      <c r="F714" s="93"/>
      <c r="G714" s="93"/>
      <c r="H714" s="93"/>
      <c r="I714" s="43" t="str">
        <f>IF(AND(A714&gt;=Dashboard!$B$2,A714&lt;EDATE(Dashboard!$B$2,1),D714&lt;&gt;""),E714,"")</f>
        <v/>
      </c>
      <c r="J714" s="43" t="str">
        <f t="shared" si="1"/>
        <v/>
      </c>
    </row>
    <row r="715" ht="15.75" customHeight="1">
      <c r="A715" s="99"/>
      <c r="B715" s="93"/>
      <c r="C715" s="93"/>
      <c r="D715" s="93"/>
      <c r="E715" s="94"/>
      <c r="F715" s="93"/>
      <c r="G715" s="93"/>
      <c r="H715" s="93"/>
      <c r="I715" s="43" t="str">
        <f>IF(AND(A715&gt;=Dashboard!$B$2,A715&lt;EDATE(Dashboard!$B$2,1),D715&lt;&gt;""),E715,"")</f>
        <v/>
      </c>
      <c r="J715" s="43" t="str">
        <f t="shared" si="1"/>
        <v/>
      </c>
    </row>
    <row r="716" ht="15.75" customHeight="1">
      <c r="A716" s="99"/>
      <c r="B716" s="93"/>
      <c r="C716" s="93"/>
      <c r="D716" s="93"/>
      <c r="E716" s="94"/>
      <c r="F716" s="93"/>
      <c r="G716" s="93"/>
      <c r="H716" s="93"/>
      <c r="I716" s="43" t="str">
        <f>IF(AND(A716&gt;=Dashboard!$B$2,A716&lt;EDATE(Dashboard!$B$2,1),D716&lt;&gt;""),E716,"")</f>
        <v/>
      </c>
      <c r="J716" s="43" t="str">
        <f t="shared" si="1"/>
        <v/>
      </c>
    </row>
    <row r="717" ht="15.75" customHeight="1">
      <c r="A717" s="99"/>
      <c r="B717" s="93"/>
      <c r="C717" s="93"/>
      <c r="D717" s="93"/>
      <c r="E717" s="94"/>
      <c r="F717" s="93"/>
      <c r="G717" s="93"/>
      <c r="H717" s="93"/>
      <c r="I717" s="43" t="str">
        <f>IF(AND(A717&gt;=Dashboard!$B$2,A717&lt;EDATE(Dashboard!$B$2,1),D717&lt;&gt;""),E717,"")</f>
        <v/>
      </c>
      <c r="J717" s="43" t="str">
        <f t="shared" si="1"/>
        <v/>
      </c>
    </row>
    <row r="718" ht="15.75" customHeight="1">
      <c r="A718" s="99"/>
      <c r="B718" s="93"/>
      <c r="C718" s="93"/>
      <c r="D718" s="93"/>
      <c r="E718" s="94"/>
      <c r="F718" s="93"/>
      <c r="G718" s="93"/>
      <c r="H718" s="93"/>
      <c r="I718" s="43" t="str">
        <f>IF(AND(A718&gt;=Dashboard!$B$2,A718&lt;EDATE(Dashboard!$B$2,1),D718&lt;&gt;""),E718,"")</f>
        <v/>
      </c>
      <c r="J718" s="43" t="str">
        <f t="shared" si="1"/>
        <v/>
      </c>
    </row>
    <row r="719" ht="15.75" customHeight="1">
      <c r="A719" s="99"/>
      <c r="B719" s="93"/>
      <c r="C719" s="93"/>
      <c r="D719" s="93"/>
      <c r="E719" s="94"/>
      <c r="F719" s="93"/>
      <c r="G719" s="93"/>
      <c r="H719" s="93"/>
      <c r="I719" s="43" t="str">
        <f>IF(AND(A719&gt;=Dashboard!$B$2,A719&lt;EDATE(Dashboard!$B$2,1),D719&lt;&gt;""),E719,"")</f>
        <v/>
      </c>
      <c r="J719" s="43" t="str">
        <f t="shared" si="1"/>
        <v/>
      </c>
    </row>
    <row r="720" ht="15.75" customHeight="1">
      <c r="A720" s="99"/>
      <c r="B720" s="93"/>
      <c r="C720" s="93"/>
      <c r="D720" s="93"/>
      <c r="E720" s="94"/>
      <c r="F720" s="93"/>
      <c r="G720" s="93"/>
      <c r="H720" s="93"/>
      <c r="I720" s="43" t="str">
        <f>IF(AND(A720&gt;=Dashboard!$B$2,A720&lt;EDATE(Dashboard!$B$2,1),D720&lt;&gt;""),E720,"")</f>
        <v/>
      </c>
      <c r="J720" s="43" t="str">
        <f t="shared" si="1"/>
        <v/>
      </c>
    </row>
    <row r="721" ht="15.75" customHeight="1">
      <c r="A721" s="99"/>
      <c r="B721" s="93"/>
      <c r="C721" s="93"/>
      <c r="D721" s="93"/>
      <c r="E721" s="94"/>
      <c r="F721" s="93"/>
      <c r="G721" s="93"/>
      <c r="H721" s="93"/>
      <c r="I721" s="43" t="str">
        <f>IF(AND(A721&gt;=Dashboard!$B$2,A721&lt;EDATE(Dashboard!$B$2,1),D721&lt;&gt;""),E721,"")</f>
        <v/>
      </c>
      <c r="J721" s="43" t="str">
        <f t="shared" si="1"/>
        <v/>
      </c>
    </row>
    <row r="722" ht="15.75" customHeight="1">
      <c r="A722" s="99"/>
      <c r="B722" s="93"/>
      <c r="C722" s="93"/>
      <c r="D722" s="93"/>
      <c r="E722" s="94"/>
      <c r="F722" s="93"/>
      <c r="G722" s="93"/>
      <c r="H722" s="93"/>
      <c r="I722" s="43" t="str">
        <f>IF(AND(A722&gt;=Dashboard!$B$2,A722&lt;EDATE(Dashboard!$B$2,1),D722&lt;&gt;""),E722,"")</f>
        <v/>
      </c>
      <c r="J722" s="43" t="str">
        <f t="shared" si="1"/>
        <v/>
      </c>
    </row>
    <row r="723" ht="15.75" customHeight="1">
      <c r="A723" s="99"/>
      <c r="B723" s="93"/>
      <c r="C723" s="93"/>
      <c r="D723" s="93"/>
      <c r="E723" s="94"/>
      <c r="F723" s="93"/>
      <c r="G723" s="93"/>
      <c r="H723" s="93"/>
      <c r="I723" s="43" t="str">
        <f>IF(AND(A723&gt;=Dashboard!$B$2,A723&lt;EDATE(Dashboard!$B$2,1),D723&lt;&gt;""),E723,"")</f>
        <v/>
      </c>
      <c r="J723" s="43" t="str">
        <f t="shared" si="1"/>
        <v/>
      </c>
    </row>
    <row r="724" ht="15.75" customHeight="1">
      <c r="A724" s="99"/>
      <c r="B724" s="93"/>
      <c r="C724" s="93"/>
      <c r="D724" s="93"/>
      <c r="E724" s="94"/>
      <c r="F724" s="93"/>
      <c r="G724" s="93"/>
      <c r="H724" s="93"/>
      <c r="I724" s="43" t="str">
        <f>IF(AND(A724&gt;=Dashboard!$B$2,A724&lt;EDATE(Dashboard!$B$2,1),D724&lt;&gt;""),E724,"")</f>
        <v/>
      </c>
      <c r="J724" s="43" t="str">
        <f t="shared" si="1"/>
        <v/>
      </c>
    </row>
    <row r="725" ht="15.75" customHeight="1">
      <c r="A725" s="99"/>
      <c r="B725" s="93"/>
      <c r="C725" s="93"/>
      <c r="D725" s="93"/>
      <c r="E725" s="94"/>
      <c r="F725" s="93"/>
      <c r="G725" s="93"/>
      <c r="H725" s="93"/>
      <c r="I725" s="43" t="str">
        <f>IF(AND(A725&gt;=Dashboard!$B$2,A725&lt;EDATE(Dashboard!$B$2,1),D725&lt;&gt;""),E725,"")</f>
        <v/>
      </c>
      <c r="J725" s="43" t="str">
        <f t="shared" si="1"/>
        <v/>
      </c>
    </row>
    <row r="726" ht="15.75" customHeight="1">
      <c r="A726" s="99"/>
      <c r="B726" s="93"/>
      <c r="C726" s="93"/>
      <c r="D726" s="93"/>
      <c r="E726" s="94"/>
      <c r="F726" s="93"/>
      <c r="G726" s="93"/>
      <c r="H726" s="93"/>
      <c r="I726" s="43" t="str">
        <f>IF(AND(A726&gt;=Dashboard!$B$2,A726&lt;EDATE(Dashboard!$B$2,1),D726&lt;&gt;""),E726,"")</f>
        <v/>
      </c>
      <c r="J726" s="43" t="str">
        <f t="shared" si="1"/>
        <v/>
      </c>
    </row>
    <row r="727" ht="15.75" customHeight="1">
      <c r="A727" s="99"/>
      <c r="B727" s="93"/>
      <c r="C727" s="93"/>
      <c r="D727" s="93"/>
      <c r="E727" s="94"/>
      <c r="F727" s="93"/>
      <c r="G727" s="93"/>
      <c r="H727" s="93"/>
      <c r="I727" s="43" t="str">
        <f>IF(AND(A727&gt;=Dashboard!$B$2,A727&lt;EDATE(Dashboard!$B$2,1),D727&lt;&gt;""),E727,"")</f>
        <v/>
      </c>
      <c r="J727" s="43" t="str">
        <f t="shared" si="1"/>
        <v/>
      </c>
    </row>
    <row r="728" ht="15.75" customHeight="1">
      <c r="A728" s="99"/>
      <c r="B728" s="93"/>
      <c r="C728" s="93"/>
      <c r="D728" s="93"/>
      <c r="E728" s="94"/>
      <c r="F728" s="93"/>
      <c r="G728" s="93"/>
      <c r="H728" s="93"/>
      <c r="I728" s="43" t="str">
        <f>IF(AND(A728&gt;=Dashboard!$B$2,A728&lt;EDATE(Dashboard!$B$2,1),D728&lt;&gt;""),E728,"")</f>
        <v/>
      </c>
      <c r="J728" s="43" t="str">
        <f t="shared" si="1"/>
        <v/>
      </c>
    </row>
    <row r="729" ht="15.75" customHeight="1">
      <c r="A729" s="99"/>
      <c r="B729" s="93"/>
      <c r="C729" s="93"/>
      <c r="D729" s="93"/>
      <c r="E729" s="94"/>
      <c r="F729" s="93"/>
      <c r="G729" s="93"/>
      <c r="H729" s="93"/>
      <c r="I729" s="43" t="str">
        <f>IF(AND(A729&gt;=Dashboard!$B$2,A729&lt;EDATE(Dashboard!$B$2,1),D729&lt;&gt;""),E729,"")</f>
        <v/>
      </c>
      <c r="J729" s="43" t="str">
        <f t="shared" si="1"/>
        <v/>
      </c>
    </row>
    <row r="730" ht="15.75" customHeight="1">
      <c r="A730" s="99"/>
      <c r="B730" s="93"/>
      <c r="C730" s="93"/>
      <c r="D730" s="93"/>
      <c r="E730" s="94"/>
      <c r="F730" s="93"/>
      <c r="G730" s="93"/>
      <c r="H730" s="93"/>
      <c r="I730" s="43" t="str">
        <f>IF(AND(A730&gt;=Dashboard!$B$2,A730&lt;EDATE(Dashboard!$B$2,1),D730&lt;&gt;""),E730,"")</f>
        <v/>
      </c>
      <c r="J730" s="43" t="str">
        <f t="shared" si="1"/>
        <v/>
      </c>
    </row>
    <row r="731" ht="15.75" customHeight="1">
      <c r="A731" s="99"/>
      <c r="B731" s="93"/>
      <c r="C731" s="93"/>
      <c r="D731" s="93"/>
      <c r="E731" s="94"/>
      <c r="F731" s="93"/>
      <c r="G731" s="93"/>
      <c r="H731" s="93"/>
      <c r="I731" s="43" t="str">
        <f>IF(AND(A731&gt;=Dashboard!$B$2,A731&lt;EDATE(Dashboard!$B$2,1),D731&lt;&gt;""),E731,"")</f>
        <v/>
      </c>
      <c r="J731" s="43" t="str">
        <f t="shared" si="1"/>
        <v/>
      </c>
    </row>
    <row r="732" ht="15.75" customHeight="1">
      <c r="A732" s="99"/>
      <c r="B732" s="93"/>
      <c r="C732" s="93"/>
      <c r="D732" s="93"/>
      <c r="E732" s="94"/>
      <c r="F732" s="93"/>
      <c r="G732" s="93"/>
      <c r="H732" s="93"/>
      <c r="I732" s="43" t="str">
        <f>IF(AND(A732&gt;=Dashboard!$B$2,A732&lt;EDATE(Dashboard!$B$2,1),D732&lt;&gt;""),E732,"")</f>
        <v/>
      </c>
      <c r="J732" s="43" t="str">
        <f t="shared" si="1"/>
        <v/>
      </c>
    </row>
    <row r="733" ht="15.75" customHeight="1">
      <c r="A733" s="99"/>
      <c r="B733" s="93"/>
      <c r="C733" s="93"/>
      <c r="D733" s="93"/>
      <c r="E733" s="94"/>
      <c r="F733" s="93"/>
      <c r="G733" s="93"/>
      <c r="H733" s="93"/>
      <c r="I733" s="43" t="str">
        <f>IF(AND(A733&gt;=Dashboard!$B$2,A733&lt;EDATE(Dashboard!$B$2,1),D733&lt;&gt;""),E733,"")</f>
        <v/>
      </c>
      <c r="J733" s="43" t="str">
        <f t="shared" si="1"/>
        <v/>
      </c>
    </row>
    <row r="734" ht="15.75" customHeight="1">
      <c r="A734" s="99"/>
      <c r="B734" s="93"/>
      <c r="C734" s="93"/>
      <c r="D734" s="93"/>
      <c r="E734" s="94"/>
      <c r="F734" s="93"/>
      <c r="G734" s="93"/>
      <c r="H734" s="93"/>
      <c r="I734" s="43" t="str">
        <f>IF(AND(A734&gt;=Dashboard!$B$2,A734&lt;EDATE(Dashboard!$B$2,1),D734&lt;&gt;""),E734,"")</f>
        <v/>
      </c>
      <c r="J734" s="43" t="str">
        <f t="shared" si="1"/>
        <v/>
      </c>
    </row>
    <row r="735" ht="15.75" customHeight="1">
      <c r="A735" s="99"/>
      <c r="B735" s="93"/>
      <c r="C735" s="93"/>
      <c r="D735" s="93"/>
      <c r="E735" s="94"/>
      <c r="F735" s="93"/>
      <c r="G735" s="93"/>
      <c r="H735" s="93"/>
      <c r="I735" s="43" t="str">
        <f>IF(AND(A735&gt;=Dashboard!$B$2,A735&lt;EDATE(Dashboard!$B$2,1),D735&lt;&gt;""),E735,"")</f>
        <v/>
      </c>
      <c r="J735" s="43" t="str">
        <f t="shared" si="1"/>
        <v/>
      </c>
    </row>
    <row r="736" ht="15.75" customHeight="1">
      <c r="A736" s="99"/>
      <c r="B736" s="93"/>
      <c r="C736" s="93"/>
      <c r="D736" s="93"/>
      <c r="E736" s="94"/>
      <c r="F736" s="93"/>
      <c r="G736" s="93"/>
      <c r="H736" s="93"/>
      <c r="I736" s="43" t="str">
        <f>IF(AND(A736&gt;=Dashboard!$B$2,A736&lt;EDATE(Dashboard!$B$2,1),D736&lt;&gt;""),E736,"")</f>
        <v/>
      </c>
      <c r="J736" s="43" t="str">
        <f t="shared" si="1"/>
        <v/>
      </c>
    </row>
    <row r="737" ht="15.75" customHeight="1">
      <c r="A737" s="99"/>
      <c r="B737" s="93"/>
      <c r="C737" s="93"/>
      <c r="D737" s="93"/>
      <c r="E737" s="94"/>
      <c r="F737" s="93"/>
      <c r="G737" s="93"/>
      <c r="H737" s="93"/>
      <c r="I737" s="43" t="str">
        <f>IF(AND(A737&gt;=Dashboard!$B$2,A737&lt;EDATE(Dashboard!$B$2,1),D737&lt;&gt;""),E737,"")</f>
        <v/>
      </c>
      <c r="J737" s="43" t="str">
        <f t="shared" si="1"/>
        <v/>
      </c>
    </row>
    <row r="738" ht="15.75" customHeight="1">
      <c r="A738" s="99"/>
      <c r="B738" s="93"/>
      <c r="C738" s="93"/>
      <c r="D738" s="93"/>
      <c r="E738" s="94"/>
      <c r="F738" s="93"/>
      <c r="G738" s="93"/>
      <c r="H738" s="93"/>
      <c r="I738" s="43" t="str">
        <f>IF(AND(A738&gt;=Dashboard!$B$2,A738&lt;EDATE(Dashboard!$B$2,1),D738&lt;&gt;""),E738,"")</f>
        <v/>
      </c>
      <c r="J738" s="43" t="str">
        <f t="shared" si="1"/>
        <v/>
      </c>
    </row>
    <row r="739" ht="15.75" customHeight="1">
      <c r="A739" s="99"/>
      <c r="B739" s="93"/>
      <c r="C739" s="93"/>
      <c r="D739" s="93"/>
      <c r="E739" s="94"/>
      <c r="F739" s="93"/>
      <c r="G739" s="93"/>
      <c r="H739" s="93"/>
      <c r="I739" s="43" t="str">
        <f>IF(AND(A739&gt;=Dashboard!$B$2,A739&lt;EDATE(Dashboard!$B$2,1),D739&lt;&gt;""),E739,"")</f>
        <v/>
      </c>
      <c r="J739" s="43" t="str">
        <f t="shared" si="1"/>
        <v/>
      </c>
    </row>
    <row r="740" ht="15.75" customHeight="1">
      <c r="A740" s="99"/>
      <c r="B740" s="93"/>
      <c r="C740" s="93"/>
      <c r="D740" s="93"/>
      <c r="E740" s="94"/>
      <c r="F740" s="93"/>
      <c r="G740" s="93"/>
      <c r="H740" s="93"/>
      <c r="I740" s="43" t="str">
        <f>IF(AND(A740&gt;=Dashboard!$B$2,A740&lt;EDATE(Dashboard!$B$2,1),D740&lt;&gt;""),E740,"")</f>
        <v/>
      </c>
      <c r="J740" s="43" t="str">
        <f t="shared" si="1"/>
        <v/>
      </c>
    </row>
    <row r="741" ht="15.75" customHeight="1">
      <c r="A741" s="99"/>
      <c r="B741" s="93"/>
      <c r="C741" s="93"/>
      <c r="D741" s="93"/>
      <c r="E741" s="94"/>
      <c r="F741" s="93"/>
      <c r="G741" s="93"/>
      <c r="H741" s="93"/>
      <c r="I741" s="43" t="str">
        <f>IF(AND(A741&gt;=Dashboard!$B$2,A741&lt;EDATE(Dashboard!$B$2,1),D741&lt;&gt;""),E741,"")</f>
        <v/>
      </c>
      <c r="J741" s="43" t="str">
        <f t="shared" si="1"/>
        <v/>
      </c>
    </row>
    <row r="742" ht="15.75" customHeight="1">
      <c r="A742" s="99"/>
      <c r="B742" s="93"/>
      <c r="C742" s="93"/>
      <c r="D742" s="93"/>
      <c r="E742" s="94"/>
      <c r="F742" s="93"/>
      <c r="G742" s="93"/>
      <c r="H742" s="93"/>
      <c r="I742" s="43" t="str">
        <f>IF(AND(A742&gt;=Dashboard!$B$2,A742&lt;EDATE(Dashboard!$B$2,1),D742&lt;&gt;""),E742,"")</f>
        <v/>
      </c>
      <c r="J742" s="43" t="str">
        <f t="shared" si="1"/>
        <v/>
      </c>
    </row>
    <row r="743" ht="15.75" customHeight="1">
      <c r="A743" s="99"/>
      <c r="B743" s="93"/>
      <c r="C743" s="93"/>
      <c r="D743" s="93"/>
      <c r="E743" s="94"/>
      <c r="F743" s="93"/>
      <c r="G743" s="93"/>
      <c r="H743" s="93"/>
      <c r="I743" s="43" t="str">
        <f>IF(AND(A743&gt;=Dashboard!$B$2,A743&lt;EDATE(Dashboard!$B$2,1),D743&lt;&gt;""),E743,"")</f>
        <v/>
      </c>
      <c r="J743" s="43" t="str">
        <f t="shared" si="1"/>
        <v/>
      </c>
    </row>
    <row r="744" ht="15.75" customHeight="1">
      <c r="A744" s="99"/>
      <c r="B744" s="93"/>
      <c r="C744" s="93"/>
      <c r="D744" s="93"/>
      <c r="E744" s="94"/>
      <c r="F744" s="93"/>
      <c r="G744" s="93"/>
      <c r="H744" s="93"/>
      <c r="I744" s="43" t="str">
        <f>IF(AND(A744&gt;=Dashboard!$B$2,A744&lt;EDATE(Dashboard!$B$2,1),D744&lt;&gt;""),E744,"")</f>
        <v/>
      </c>
      <c r="J744" s="43" t="str">
        <f t="shared" si="1"/>
        <v/>
      </c>
    </row>
    <row r="745" ht="15.75" customHeight="1">
      <c r="A745" s="99"/>
      <c r="B745" s="93"/>
      <c r="C745" s="93"/>
      <c r="D745" s="93"/>
      <c r="E745" s="94"/>
      <c r="F745" s="93"/>
      <c r="G745" s="93"/>
      <c r="H745" s="93"/>
      <c r="I745" s="43" t="str">
        <f>IF(AND(A745&gt;=Dashboard!$B$2,A745&lt;EDATE(Dashboard!$B$2,1),D745&lt;&gt;""),E745,"")</f>
        <v/>
      </c>
      <c r="J745" s="43" t="str">
        <f t="shared" si="1"/>
        <v/>
      </c>
    </row>
    <row r="746" ht="15.75" customHeight="1">
      <c r="A746" s="99"/>
      <c r="B746" s="93"/>
      <c r="C746" s="93"/>
      <c r="D746" s="93"/>
      <c r="E746" s="94"/>
      <c r="F746" s="93"/>
      <c r="G746" s="93"/>
      <c r="H746" s="93"/>
      <c r="I746" s="43" t="str">
        <f>IF(AND(A746&gt;=Dashboard!$B$2,A746&lt;EDATE(Dashboard!$B$2,1),D746&lt;&gt;""),E746,"")</f>
        <v/>
      </c>
      <c r="J746" s="43" t="str">
        <f t="shared" si="1"/>
        <v/>
      </c>
    </row>
    <row r="747" ht="15.75" customHeight="1">
      <c r="A747" s="99"/>
      <c r="B747" s="93"/>
      <c r="C747" s="93"/>
      <c r="D747" s="93"/>
      <c r="E747" s="94"/>
      <c r="F747" s="93"/>
      <c r="G747" s="93"/>
      <c r="H747" s="93"/>
      <c r="I747" s="43" t="str">
        <f>IF(AND(A747&gt;=Dashboard!$B$2,A747&lt;EDATE(Dashboard!$B$2,1),D747&lt;&gt;""),E747,"")</f>
        <v/>
      </c>
      <c r="J747" s="43" t="str">
        <f t="shared" si="1"/>
        <v/>
      </c>
    </row>
    <row r="748" ht="15.75" customHeight="1">
      <c r="A748" s="99"/>
      <c r="B748" s="93"/>
      <c r="C748" s="93"/>
      <c r="D748" s="93"/>
      <c r="E748" s="94"/>
      <c r="F748" s="93"/>
      <c r="G748" s="93"/>
      <c r="H748" s="93"/>
      <c r="I748" s="43" t="str">
        <f>IF(AND(A748&gt;=Dashboard!$B$2,A748&lt;EDATE(Dashboard!$B$2,1),D748&lt;&gt;""),E748,"")</f>
        <v/>
      </c>
      <c r="J748" s="43" t="str">
        <f t="shared" si="1"/>
        <v/>
      </c>
    </row>
    <row r="749" ht="15.75" customHeight="1">
      <c r="A749" s="99"/>
      <c r="B749" s="93"/>
      <c r="C749" s="93"/>
      <c r="D749" s="93"/>
      <c r="E749" s="94"/>
      <c r="F749" s="93"/>
      <c r="G749" s="93"/>
      <c r="H749" s="93"/>
      <c r="I749" s="43" t="str">
        <f>IF(AND(A749&gt;=Dashboard!$B$2,A749&lt;EDATE(Dashboard!$B$2,1),D749&lt;&gt;""),E749,"")</f>
        <v/>
      </c>
      <c r="J749" s="43" t="str">
        <f t="shared" si="1"/>
        <v/>
      </c>
    </row>
    <row r="750" ht="15.75" customHeight="1">
      <c r="A750" s="99"/>
      <c r="B750" s="93"/>
      <c r="C750" s="93"/>
      <c r="D750" s="93"/>
      <c r="E750" s="94"/>
      <c r="F750" s="93"/>
      <c r="G750" s="93"/>
      <c r="H750" s="93"/>
      <c r="I750" s="43" t="str">
        <f>IF(AND(A750&gt;=Dashboard!$B$2,A750&lt;EDATE(Dashboard!$B$2,1),D750&lt;&gt;""),E750,"")</f>
        <v/>
      </c>
      <c r="J750" s="43" t="str">
        <f t="shared" si="1"/>
        <v/>
      </c>
    </row>
    <row r="751" ht="15.75" customHeight="1">
      <c r="A751" s="99"/>
      <c r="B751" s="93"/>
      <c r="C751" s="93"/>
      <c r="D751" s="93"/>
      <c r="E751" s="94"/>
      <c r="F751" s="93"/>
      <c r="G751" s="93"/>
      <c r="H751" s="93"/>
      <c r="I751" s="43" t="str">
        <f>IF(AND(A751&gt;=Dashboard!$B$2,A751&lt;EDATE(Dashboard!$B$2,1),D751&lt;&gt;""),E751,"")</f>
        <v/>
      </c>
      <c r="J751" s="43" t="str">
        <f t="shared" si="1"/>
        <v/>
      </c>
    </row>
    <row r="752" ht="15.75" customHeight="1">
      <c r="A752" s="99"/>
      <c r="B752" s="93"/>
      <c r="C752" s="93"/>
      <c r="D752" s="93"/>
      <c r="E752" s="94"/>
      <c r="F752" s="93"/>
      <c r="G752" s="93"/>
      <c r="H752" s="93"/>
      <c r="I752" s="43" t="str">
        <f>IF(AND(A752&gt;=Dashboard!$B$2,A752&lt;EDATE(Dashboard!$B$2,1),D752&lt;&gt;""),E752,"")</f>
        <v/>
      </c>
      <c r="J752" s="43" t="str">
        <f t="shared" si="1"/>
        <v/>
      </c>
    </row>
    <row r="753" ht="15.75" customHeight="1">
      <c r="A753" s="99"/>
      <c r="B753" s="93"/>
      <c r="C753" s="93"/>
      <c r="D753" s="93"/>
      <c r="E753" s="94"/>
      <c r="F753" s="93"/>
      <c r="G753" s="93"/>
      <c r="H753" s="93"/>
      <c r="I753" s="43" t="str">
        <f>IF(AND(A753&gt;=Dashboard!$B$2,A753&lt;EDATE(Dashboard!$B$2,1),D753&lt;&gt;""),E753,"")</f>
        <v/>
      </c>
      <c r="J753" s="43" t="str">
        <f t="shared" si="1"/>
        <v/>
      </c>
    </row>
    <row r="754" ht="15.75" customHeight="1">
      <c r="A754" s="99"/>
      <c r="B754" s="93"/>
      <c r="C754" s="93"/>
      <c r="D754" s="93"/>
      <c r="E754" s="94"/>
      <c r="F754" s="93"/>
      <c r="G754" s="93"/>
      <c r="H754" s="93"/>
      <c r="I754" s="43" t="str">
        <f>IF(AND(A754&gt;=Dashboard!$B$2,A754&lt;EDATE(Dashboard!$B$2,1),D754&lt;&gt;""),E754,"")</f>
        <v/>
      </c>
      <c r="J754" s="43" t="str">
        <f t="shared" si="1"/>
        <v/>
      </c>
    </row>
    <row r="755" ht="15.75" customHeight="1">
      <c r="A755" s="99"/>
      <c r="B755" s="93"/>
      <c r="C755" s="93"/>
      <c r="D755" s="93"/>
      <c r="E755" s="94"/>
      <c r="F755" s="93"/>
      <c r="G755" s="93"/>
      <c r="H755" s="93"/>
      <c r="I755" s="43" t="str">
        <f>IF(AND(A755&gt;=Dashboard!$B$2,A755&lt;EDATE(Dashboard!$B$2,1),D755&lt;&gt;""),E755,"")</f>
        <v/>
      </c>
      <c r="J755" s="43" t="str">
        <f t="shared" si="1"/>
        <v/>
      </c>
    </row>
    <row r="756" ht="15.75" customHeight="1">
      <c r="A756" s="99"/>
      <c r="B756" s="93"/>
      <c r="C756" s="93"/>
      <c r="D756" s="93"/>
      <c r="E756" s="94"/>
      <c r="F756" s="93"/>
      <c r="G756" s="93"/>
      <c r="H756" s="93"/>
      <c r="I756" s="43" t="str">
        <f>IF(AND(A756&gt;=Dashboard!$B$2,A756&lt;EDATE(Dashboard!$B$2,1),D756&lt;&gt;""),E756,"")</f>
        <v/>
      </c>
      <c r="J756" s="43" t="str">
        <f t="shared" si="1"/>
        <v/>
      </c>
    </row>
    <row r="757" ht="15.75" customHeight="1">
      <c r="A757" s="99"/>
      <c r="B757" s="93"/>
      <c r="C757" s="93"/>
      <c r="D757" s="93"/>
      <c r="E757" s="94"/>
      <c r="F757" s="93"/>
      <c r="G757" s="93"/>
      <c r="H757" s="93"/>
      <c r="I757" s="43" t="str">
        <f>IF(AND(A757&gt;=Dashboard!$B$2,A757&lt;EDATE(Dashboard!$B$2,1),D757&lt;&gt;""),E757,"")</f>
        <v/>
      </c>
      <c r="J757" s="43" t="str">
        <f t="shared" si="1"/>
        <v/>
      </c>
    </row>
    <row r="758" ht="15.75" customHeight="1">
      <c r="A758" s="99"/>
      <c r="B758" s="93"/>
      <c r="C758" s="93"/>
      <c r="D758" s="93"/>
      <c r="E758" s="94"/>
      <c r="F758" s="93"/>
      <c r="G758" s="93"/>
      <c r="H758" s="93"/>
      <c r="I758" s="43" t="str">
        <f>IF(AND(A758&gt;=Dashboard!$B$2,A758&lt;EDATE(Dashboard!$B$2,1),D758&lt;&gt;""),E758,"")</f>
        <v/>
      </c>
      <c r="J758" s="43" t="str">
        <f t="shared" si="1"/>
        <v/>
      </c>
    </row>
    <row r="759" ht="15.75" customHeight="1">
      <c r="A759" s="99"/>
      <c r="B759" s="93"/>
      <c r="C759" s="93"/>
      <c r="D759" s="93"/>
      <c r="E759" s="94"/>
      <c r="F759" s="93"/>
      <c r="G759" s="93"/>
      <c r="H759" s="93"/>
      <c r="I759" s="43" t="str">
        <f>IF(AND(A759&gt;=Dashboard!$B$2,A759&lt;EDATE(Dashboard!$B$2,1),D759&lt;&gt;""),E759,"")</f>
        <v/>
      </c>
      <c r="J759" s="43" t="str">
        <f t="shared" si="1"/>
        <v/>
      </c>
    </row>
    <row r="760" ht="15.75" customHeight="1">
      <c r="A760" s="99"/>
      <c r="B760" s="93"/>
      <c r="C760" s="93"/>
      <c r="D760" s="93"/>
      <c r="E760" s="94"/>
      <c r="F760" s="93"/>
      <c r="G760" s="93"/>
      <c r="H760" s="93"/>
      <c r="I760" s="43" t="str">
        <f>IF(AND(A760&gt;=Dashboard!$B$2,A760&lt;EDATE(Dashboard!$B$2,1),D760&lt;&gt;""),E760,"")</f>
        <v/>
      </c>
      <c r="J760" s="43" t="str">
        <f t="shared" si="1"/>
        <v/>
      </c>
    </row>
    <row r="761" ht="15.75" customHeight="1">
      <c r="A761" s="99"/>
      <c r="B761" s="93"/>
      <c r="C761" s="93"/>
      <c r="D761" s="93"/>
      <c r="E761" s="94"/>
      <c r="F761" s="93"/>
      <c r="G761" s="93"/>
      <c r="H761" s="93"/>
      <c r="I761" s="43" t="str">
        <f>IF(AND(A761&gt;=Dashboard!$B$2,A761&lt;EDATE(Dashboard!$B$2,1),D761&lt;&gt;""),E761,"")</f>
        <v/>
      </c>
      <c r="J761" s="43" t="str">
        <f t="shared" si="1"/>
        <v/>
      </c>
    </row>
    <row r="762" ht="15.75" customHeight="1">
      <c r="A762" s="99"/>
      <c r="B762" s="93"/>
      <c r="C762" s="93"/>
      <c r="D762" s="93"/>
      <c r="E762" s="94"/>
      <c r="F762" s="93"/>
      <c r="G762" s="93"/>
      <c r="H762" s="93"/>
      <c r="I762" s="43" t="str">
        <f>IF(AND(A762&gt;=Dashboard!$B$2,A762&lt;EDATE(Dashboard!$B$2,1),D762&lt;&gt;""),E762,"")</f>
        <v/>
      </c>
      <c r="J762" s="43" t="str">
        <f t="shared" si="1"/>
        <v/>
      </c>
    </row>
    <row r="763" ht="15.75" customHeight="1">
      <c r="A763" s="99"/>
      <c r="B763" s="93"/>
      <c r="C763" s="93"/>
      <c r="D763" s="93"/>
      <c r="E763" s="94"/>
      <c r="F763" s="93"/>
      <c r="G763" s="93"/>
      <c r="H763" s="93"/>
      <c r="I763" s="43" t="str">
        <f>IF(AND(A763&gt;=Dashboard!$B$2,A763&lt;EDATE(Dashboard!$B$2,1),D763&lt;&gt;""),E763,"")</f>
        <v/>
      </c>
      <c r="J763" s="43" t="str">
        <f t="shared" si="1"/>
        <v/>
      </c>
    </row>
    <row r="764" ht="15.75" customHeight="1">
      <c r="A764" s="99"/>
      <c r="B764" s="93"/>
      <c r="C764" s="93"/>
      <c r="D764" s="93"/>
      <c r="E764" s="94"/>
      <c r="F764" s="93"/>
      <c r="G764" s="93"/>
      <c r="H764" s="93"/>
      <c r="I764" s="43" t="str">
        <f>IF(AND(A764&gt;=Dashboard!$B$2,A764&lt;EDATE(Dashboard!$B$2,1),D764&lt;&gt;""),E764,"")</f>
        <v/>
      </c>
      <c r="J764" s="43" t="str">
        <f t="shared" si="1"/>
        <v/>
      </c>
    </row>
    <row r="765" ht="15.75" customHeight="1">
      <c r="A765" s="99"/>
      <c r="B765" s="93"/>
      <c r="C765" s="93"/>
      <c r="D765" s="93"/>
      <c r="E765" s="94"/>
      <c r="F765" s="93"/>
      <c r="G765" s="93"/>
      <c r="H765" s="93"/>
      <c r="I765" s="43" t="str">
        <f>IF(AND(A765&gt;=Dashboard!$B$2,A765&lt;EDATE(Dashboard!$B$2,1),D765&lt;&gt;""),E765,"")</f>
        <v/>
      </c>
      <c r="J765" s="43" t="str">
        <f t="shared" si="1"/>
        <v/>
      </c>
    </row>
    <row r="766" ht="15.75" customHeight="1">
      <c r="A766" s="99"/>
      <c r="B766" s="93"/>
      <c r="C766" s="93"/>
      <c r="D766" s="93"/>
      <c r="E766" s="94"/>
      <c r="F766" s="93"/>
      <c r="G766" s="93"/>
      <c r="H766" s="93"/>
      <c r="I766" s="43" t="str">
        <f>IF(AND(A766&gt;=Dashboard!$B$2,A766&lt;EDATE(Dashboard!$B$2,1),D766&lt;&gt;""),E766,"")</f>
        <v/>
      </c>
      <c r="J766" s="43" t="str">
        <f t="shared" si="1"/>
        <v/>
      </c>
    </row>
    <row r="767" ht="15.75" customHeight="1">
      <c r="A767" s="99"/>
      <c r="B767" s="93"/>
      <c r="C767" s="93"/>
      <c r="D767" s="93"/>
      <c r="E767" s="94"/>
      <c r="F767" s="93"/>
      <c r="G767" s="93"/>
      <c r="H767" s="93"/>
      <c r="I767" s="43" t="str">
        <f>IF(AND(A767&gt;=Dashboard!$B$2,A767&lt;EDATE(Dashboard!$B$2,1),D767&lt;&gt;""),E767,"")</f>
        <v/>
      </c>
      <c r="J767" s="43" t="str">
        <f t="shared" si="1"/>
        <v/>
      </c>
    </row>
    <row r="768" ht="15.75" customHeight="1">
      <c r="A768" s="99"/>
      <c r="B768" s="93"/>
      <c r="C768" s="93"/>
      <c r="D768" s="93"/>
      <c r="E768" s="94"/>
      <c r="F768" s="93"/>
      <c r="G768" s="93"/>
      <c r="H768" s="93"/>
      <c r="I768" s="43" t="str">
        <f>IF(AND(A768&gt;=Dashboard!$B$2,A768&lt;EDATE(Dashboard!$B$2,1),D768&lt;&gt;""),E768,"")</f>
        <v/>
      </c>
      <c r="J768" s="43" t="str">
        <f t="shared" si="1"/>
        <v/>
      </c>
    </row>
    <row r="769" ht="15.75" customHeight="1">
      <c r="A769" s="99"/>
      <c r="B769" s="93"/>
      <c r="C769" s="93"/>
      <c r="D769" s="93"/>
      <c r="E769" s="94"/>
      <c r="F769" s="93"/>
      <c r="G769" s="93"/>
      <c r="H769" s="93"/>
      <c r="I769" s="43" t="str">
        <f>IF(AND(A769&gt;=Dashboard!$B$2,A769&lt;EDATE(Dashboard!$B$2,1),D769&lt;&gt;""),E769,"")</f>
        <v/>
      </c>
      <c r="J769" s="43" t="str">
        <f t="shared" si="1"/>
        <v/>
      </c>
    </row>
    <row r="770" ht="15.75" customHeight="1">
      <c r="A770" s="99"/>
      <c r="B770" s="93"/>
      <c r="C770" s="93"/>
      <c r="D770" s="93"/>
      <c r="E770" s="94"/>
      <c r="F770" s="93"/>
      <c r="G770" s="93"/>
      <c r="H770" s="93"/>
      <c r="I770" s="43" t="str">
        <f>IF(AND(A770&gt;=Dashboard!$B$2,A770&lt;EDATE(Dashboard!$B$2,1),D770&lt;&gt;""),E770,"")</f>
        <v/>
      </c>
      <c r="J770" s="43" t="str">
        <f t="shared" si="1"/>
        <v/>
      </c>
    </row>
    <row r="771" ht="15.75" customHeight="1">
      <c r="A771" s="99"/>
      <c r="B771" s="93"/>
      <c r="C771" s="93"/>
      <c r="D771" s="93"/>
      <c r="E771" s="94"/>
      <c r="F771" s="93"/>
      <c r="G771" s="93"/>
      <c r="H771" s="93"/>
      <c r="I771" s="43" t="str">
        <f>IF(AND(A771&gt;=Dashboard!$B$2,A771&lt;EDATE(Dashboard!$B$2,1),D771&lt;&gt;""),E771,"")</f>
        <v/>
      </c>
      <c r="J771" s="43" t="str">
        <f t="shared" si="1"/>
        <v/>
      </c>
    </row>
    <row r="772" ht="15.75" customHeight="1">
      <c r="A772" s="99"/>
      <c r="B772" s="93"/>
      <c r="C772" s="93"/>
      <c r="D772" s="93"/>
      <c r="E772" s="94"/>
      <c r="F772" s="93"/>
      <c r="G772" s="93"/>
      <c r="H772" s="93"/>
      <c r="I772" s="43" t="str">
        <f>IF(AND(A772&gt;=Dashboard!$B$2,A772&lt;EDATE(Dashboard!$B$2,1),D772&lt;&gt;""),E772,"")</f>
        <v/>
      </c>
      <c r="J772" s="43" t="str">
        <f t="shared" si="1"/>
        <v/>
      </c>
    </row>
    <row r="773" ht="15.75" customHeight="1">
      <c r="A773" s="99"/>
      <c r="B773" s="93"/>
      <c r="C773" s="93"/>
      <c r="D773" s="93"/>
      <c r="E773" s="94"/>
      <c r="F773" s="93"/>
      <c r="G773" s="93"/>
      <c r="H773" s="93"/>
      <c r="I773" s="43" t="str">
        <f>IF(AND(A773&gt;=Dashboard!$B$2,A773&lt;EDATE(Dashboard!$B$2,1),D773&lt;&gt;""),E773,"")</f>
        <v/>
      </c>
      <c r="J773" s="43" t="str">
        <f t="shared" si="1"/>
        <v/>
      </c>
    </row>
    <row r="774" ht="15.75" customHeight="1">
      <c r="A774" s="99"/>
      <c r="B774" s="93"/>
      <c r="C774" s="93"/>
      <c r="D774" s="93"/>
      <c r="E774" s="94"/>
      <c r="F774" s="93"/>
      <c r="G774" s="93"/>
      <c r="H774" s="93"/>
      <c r="I774" s="43" t="str">
        <f>IF(AND(A774&gt;=Dashboard!$B$2,A774&lt;EDATE(Dashboard!$B$2,1),D774&lt;&gt;""),E774,"")</f>
        <v/>
      </c>
      <c r="J774" s="43" t="str">
        <f t="shared" si="1"/>
        <v/>
      </c>
    </row>
    <row r="775" ht="15.75" customHeight="1">
      <c r="A775" s="99"/>
      <c r="B775" s="93"/>
      <c r="C775" s="93"/>
      <c r="D775" s="93"/>
      <c r="E775" s="94"/>
      <c r="F775" s="93"/>
      <c r="G775" s="93"/>
      <c r="H775" s="93"/>
      <c r="I775" s="43" t="str">
        <f>IF(AND(A775&gt;=Dashboard!$B$2,A775&lt;EDATE(Dashboard!$B$2,1),D775&lt;&gt;""),E775,"")</f>
        <v/>
      </c>
      <c r="J775" s="43" t="str">
        <f t="shared" si="1"/>
        <v/>
      </c>
    </row>
    <row r="776" ht="15.75" customHeight="1">
      <c r="A776" s="99"/>
      <c r="B776" s="93"/>
      <c r="C776" s="93"/>
      <c r="D776" s="93"/>
      <c r="E776" s="94"/>
      <c r="F776" s="93"/>
      <c r="G776" s="93"/>
      <c r="H776" s="93"/>
      <c r="I776" s="43" t="str">
        <f>IF(AND(A776&gt;=Dashboard!$B$2,A776&lt;EDATE(Dashboard!$B$2,1),D776&lt;&gt;""),E776,"")</f>
        <v/>
      </c>
      <c r="J776" s="43" t="str">
        <f t="shared" si="1"/>
        <v/>
      </c>
    </row>
    <row r="777" ht="15.75" customHeight="1">
      <c r="A777" s="99"/>
      <c r="B777" s="93"/>
      <c r="C777" s="93"/>
      <c r="D777" s="93"/>
      <c r="E777" s="94"/>
      <c r="F777" s="93"/>
      <c r="G777" s="93"/>
      <c r="H777" s="93"/>
      <c r="I777" s="43" t="str">
        <f>IF(AND(A777&gt;=Dashboard!$B$2,A777&lt;EDATE(Dashboard!$B$2,1),D777&lt;&gt;""),E777,"")</f>
        <v/>
      </c>
      <c r="J777" s="43" t="str">
        <f t="shared" si="1"/>
        <v/>
      </c>
    </row>
    <row r="778" ht="15.75" customHeight="1">
      <c r="A778" s="99"/>
      <c r="B778" s="93"/>
      <c r="C778" s="93"/>
      <c r="D778" s="93"/>
      <c r="E778" s="94"/>
      <c r="F778" s="93"/>
      <c r="G778" s="93"/>
      <c r="H778" s="93"/>
      <c r="I778" s="43" t="str">
        <f>IF(AND(A778&gt;=Dashboard!$B$2,A778&lt;EDATE(Dashboard!$B$2,1),D778&lt;&gt;""),E778,"")</f>
        <v/>
      </c>
      <c r="J778" s="43" t="str">
        <f t="shared" si="1"/>
        <v/>
      </c>
    </row>
    <row r="779" ht="15.75" customHeight="1">
      <c r="A779" s="99"/>
      <c r="B779" s="93"/>
      <c r="C779" s="93"/>
      <c r="D779" s="93"/>
      <c r="E779" s="94"/>
      <c r="F779" s="93"/>
      <c r="G779" s="93"/>
      <c r="H779" s="93"/>
      <c r="I779" s="43" t="str">
        <f>IF(AND(A779&gt;=Dashboard!$B$2,A779&lt;EDATE(Dashboard!$B$2,1),D779&lt;&gt;""),E779,"")</f>
        <v/>
      </c>
      <c r="J779" s="43" t="str">
        <f t="shared" si="1"/>
        <v/>
      </c>
    </row>
    <row r="780" ht="15.75" customHeight="1">
      <c r="A780" s="99"/>
      <c r="B780" s="93"/>
      <c r="C780" s="93"/>
      <c r="D780" s="93"/>
      <c r="E780" s="94"/>
      <c r="F780" s="93"/>
      <c r="G780" s="93"/>
      <c r="H780" s="93"/>
      <c r="I780" s="43" t="str">
        <f>IF(AND(A780&gt;=Dashboard!$B$2,A780&lt;EDATE(Dashboard!$B$2,1),D780&lt;&gt;""),E780,"")</f>
        <v/>
      </c>
      <c r="J780" s="43" t="str">
        <f t="shared" si="1"/>
        <v/>
      </c>
    </row>
    <row r="781" ht="15.75" customHeight="1">
      <c r="A781" s="99"/>
      <c r="B781" s="93"/>
      <c r="C781" s="93"/>
      <c r="D781" s="93"/>
      <c r="E781" s="94"/>
      <c r="F781" s="93"/>
      <c r="G781" s="93"/>
      <c r="H781" s="93"/>
      <c r="I781" s="43" t="str">
        <f>IF(AND(A781&gt;=Dashboard!$B$2,A781&lt;EDATE(Dashboard!$B$2,1),D781&lt;&gt;""),E781,"")</f>
        <v/>
      </c>
      <c r="J781" s="43" t="str">
        <f t="shared" si="1"/>
        <v/>
      </c>
    </row>
    <row r="782" ht="15.75" customHeight="1">
      <c r="A782" s="99"/>
      <c r="B782" s="93"/>
      <c r="C782" s="93"/>
      <c r="D782" s="93"/>
      <c r="E782" s="94"/>
      <c r="F782" s="93"/>
      <c r="G782" s="93"/>
      <c r="H782" s="93"/>
      <c r="I782" s="43" t="str">
        <f>IF(AND(A782&gt;=Dashboard!$B$2,A782&lt;EDATE(Dashboard!$B$2,1),D782&lt;&gt;""),E782,"")</f>
        <v/>
      </c>
      <c r="J782" s="43" t="str">
        <f t="shared" si="1"/>
        <v/>
      </c>
    </row>
    <row r="783" ht="15.75" customHeight="1">
      <c r="A783" s="99"/>
      <c r="B783" s="93"/>
      <c r="C783" s="93"/>
      <c r="D783" s="93"/>
      <c r="E783" s="94"/>
      <c r="F783" s="93"/>
      <c r="G783" s="93"/>
      <c r="H783" s="93"/>
      <c r="I783" s="43" t="str">
        <f>IF(AND(A783&gt;=Dashboard!$B$2,A783&lt;EDATE(Dashboard!$B$2,1),D783&lt;&gt;""),E783,"")</f>
        <v/>
      </c>
      <c r="J783" s="43" t="str">
        <f t="shared" si="1"/>
        <v/>
      </c>
    </row>
    <row r="784" ht="15.75" customHeight="1">
      <c r="A784" s="99"/>
      <c r="B784" s="93"/>
      <c r="C784" s="93"/>
      <c r="D784" s="93"/>
      <c r="E784" s="94"/>
      <c r="F784" s="93"/>
      <c r="G784" s="93"/>
      <c r="H784" s="93"/>
      <c r="I784" s="43" t="str">
        <f>IF(AND(A784&gt;=Dashboard!$B$2,A784&lt;EDATE(Dashboard!$B$2,1),D784&lt;&gt;""),E784,"")</f>
        <v/>
      </c>
      <c r="J784" s="43" t="str">
        <f t="shared" si="1"/>
        <v/>
      </c>
    </row>
    <row r="785" ht="15.75" customHeight="1">
      <c r="A785" s="99"/>
      <c r="B785" s="93"/>
      <c r="C785" s="93"/>
      <c r="D785" s="93"/>
      <c r="E785" s="94"/>
      <c r="F785" s="93"/>
      <c r="G785" s="93"/>
      <c r="H785" s="93"/>
      <c r="I785" s="43" t="str">
        <f>IF(AND(A785&gt;=Dashboard!$B$2,A785&lt;EDATE(Dashboard!$B$2,1),D785&lt;&gt;""),E785,"")</f>
        <v/>
      </c>
      <c r="J785" s="43" t="str">
        <f t="shared" si="1"/>
        <v/>
      </c>
    </row>
    <row r="786" ht="15.75" customHeight="1">
      <c r="A786" s="99"/>
      <c r="B786" s="93"/>
      <c r="C786" s="93"/>
      <c r="D786" s="93"/>
      <c r="E786" s="94"/>
      <c r="F786" s="93"/>
      <c r="G786" s="93"/>
      <c r="H786" s="93"/>
      <c r="I786" s="43" t="str">
        <f>IF(AND(A786&gt;=Dashboard!$B$2,A786&lt;EDATE(Dashboard!$B$2,1),D786&lt;&gt;""),E786,"")</f>
        <v/>
      </c>
      <c r="J786" s="43" t="str">
        <f t="shared" si="1"/>
        <v/>
      </c>
    </row>
    <row r="787" ht="15.75" customHeight="1">
      <c r="A787" s="99"/>
      <c r="B787" s="93"/>
      <c r="C787" s="93"/>
      <c r="D787" s="93"/>
      <c r="E787" s="94"/>
      <c r="F787" s="93"/>
      <c r="G787" s="93"/>
      <c r="H787" s="93"/>
      <c r="I787" s="43" t="str">
        <f>IF(AND(A787&gt;=Dashboard!$B$2,A787&lt;EDATE(Dashboard!$B$2,1),D787&lt;&gt;""),E787,"")</f>
        <v/>
      </c>
      <c r="J787" s="43" t="str">
        <f t="shared" si="1"/>
        <v/>
      </c>
    </row>
    <row r="788" ht="15.75" customHeight="1">
      <c r="A788" s="99"/>
      <c r="B788" s="93"/>
      <c r="C788" s="93"/>
      <c r="D788" s="93"/>
      <c r="E788" s="94"/>
      <c r="F788" s="93"/>
      <c r="G788" s="93"/>
      <c r="H788" s="93"/>
      <c r="I788" s="43" t="str">
        <f>IF(AND(A788&gt;=Dashboard!$B$2,A788&lt;EDATE(Dashboard!$B$2,1),D788&lt;&gt;""),E788,"")</f>
        <v/>
      </c>
      <c r="J788" s="43" t="str">
        <f t="shared" si="1"/>
        <v/>
      </c>
    </row>
    <row r="789" ht="15.75" customHeight="1">
      <c r="A789" s="99"/>
      <c r="B789" s="93"/>
      <c r="C789" s="93"/>
      <c r="D789" s="93"/>
      <c r="E789" s="94"/>
      <c r="F789" s="93"/>
      <c r="G789" s="93"/>
      <c r="H789" s="93"/>
      <c r="I789" s="43" t="str">
        <f>IF(AND(A789&gt;=Dashboard!$B$2,A789&lt;EDATE(Dashboard!$B$2,1),D789&lt;&gt;""),E789,"")</f>
        <v/>
      </c>
      <c r="J789" s="43" t="str">
        <f t="shared" si="1"/>
        <v/>
      </c>
    </row>
    <row r="790" ht="15.75" customHeight="1">
      <c r="A790" s="99"/>
      <c r="B790" s="93"/>
      <c r="C790" s="93"/>
      <c r="D790" s="93"/>
      <c r="E790" s="94"/>
      <c r="F790" s="93"/>
      <c r="G790" s="93"/>
      <c r="H790" s="93"/>
      <c r="I790" s="43" t="str">
        <f>IF(AND(A790&gt;=Dashboard!$B$2,A790&lt;EDATE(Dashboard!$B$2,1),D790&lt;&gt;""),E790,"")</f>
        <v/>
      </c>
      <c r="J790" s="43" t="str">
        <f t="shared" si="1"/>
        <v/>
      </c>
    </row>
    <row r="791" ht="15.75" customHeight="1">
      <c r="A791" s="99"/>
      <c r="B791" s="93"/>
      <c r="C791" s="93"/>
      <c r="D791" s="93"/>
      <c r="E791" s="94"/>
      <c r="F791" s="93"/>
      <c r="G791" s="93"/>
      <c r="H791" s="93"/>
      <c r="I791" s="43" t="str">
        <f>IF(AND(A791&gt;=Dashboard!$B$2,A791&lt;EDATE(Dashboard!$B$2,1),D791&lt;&gt;""),E791,"")</f>
        <v/>
      </c>
      <c r="J791" s="43" t="str">
        <f t="shared" si="1"/>
        <v/>
      </c>
    </row>
    <row r="792" ht="15.75" customHeight="1">
      <c r="A792" s="99"/>
      <c r="B792" s="93"/>
      <c r="C792" s="93"/>
      <c r="D792" s="93"/>
      <c r="E792" s="94"/>
      <c r="F792" s="93"/>
      <c r="G792" s="93"/>
      <c r="H792" s="93"/>
      <c r="I792" s="43" t="str">
        <f>IF(AND(A792&gt;=Dashboard!$B$2,A792&lt;EDATE(Dashboard!$B$2,1),D792&lt;&gt;""),E792,"")</f>
        <v/>
      </c>
      <c r="J792" s="43" t="str">
        <f t="shared" si="1"/>
        <v/>
      </c>
    </row>
    <row r="793" ht="15.75" customHeight="1">
      <c r="A793" s="99"/>
      <c r="B793" s="93"/>
      <c r="C793" s="93"/>
      <c r="D793" s="93"/>
      <c r="E793" s="94"/>
      <c r="F793" s="93"/>
      <c r="G793" s="93"/>
      <c r="H793" s="93"/>
      <c r="I793" s="43" t="str">
        <f>IF(AND(A793&gt;=Dashboard!$B$2,A793&lt;EDATE(Dashboard!$B$2,1),D793&lt;&gt;""),E793,"")</f>
        <v/>
      </c>
      <c r="J793" s="43" t="str">
        <f t="shared" si="1"/>
        <v/>
      </c>
    </row>
    <row r="794" ht="15.75" customHeight="1">
      <c r="A794" s="99"/>
      <c r="B794" s="93"/>
      <c r="C794" s="93"/>
      <c r="D794" s="93"/>
      <c r="E794" s="94"/>
      <c r="F794" s="93"/>
      <c r="G794" s="93"/>
      <c r="H794" s="93"/>
      <c r="I794" s="43" t="str">
        <f>IF(AND(A794&gt;=Dashboard!$B$2,A794&lt;EDATE(Dashboard!$B$2,1),D794&lt;&gt;""),E794,"")</f>
        <v/>
      </c>
      <c r="J794" s="43" t="str">
        <f t="shared" si="1"/>
        <v/>
      </c>
    </row>
    <row r="795" ht="15.75" customHeight="1">
      <c r="A795" s="99"/>
      <c r="B795" s="93"/>
      <c r="C795" s="93"/>
      <c r="D795" s="93"/>
      <c r="E795" s="94"/>
      <c r="F795" s="93"/>
      <c r="G795" s="93"/>
      <c r="H795" s="93"/>
      <c r="I795" s="43" t="str">
        <f>IF(AND(A795&gt;=Dashboard!$B$2,A795&lt;EDATE(Dashboard!$B$2,1),D795&lt;&gt;""),E795,"")</f>
        <v/>
      </c>
      <c r="J795" s="43" t="str">
        <f t="shared" si="1"/>
        <v/>
      </c>
    </row>
    <row r="796" ht="15.75" customHeight="1">
      <c r="A796" s="99"/>
      <c r="B796" s="93"/>
      <c r="C796" s="93"/>
      <c r="D796" s="93"/>
      <c r="E796" s="94"/>
      <c r="F796" s="93"/>
      <c r="G796" s="93"/>
      <c r="H796" s="93"/>
      <c r="I796" s="43" t="str">
        <f>IF(AND(A796&gt;=Dashboard!$B$2,A796&lt;EDATE(Dashboard!$B$2,1),D796&lt;&gt;""),E796,"")</f>
        <v/>
      </c>
      <c r="J796" s="43" t="str">
        <f t="shared" si="1"/>
        <v/>
      </c>
    </row>
    <row r="797" ht="15.75" customHeight="1">
      <c r="A797" s="99"/>
      <c r="B797" s="93"/>
      <c r="C797" s="93"/>
      <c r="D797" s="93"/>
      <c r="E797" s="94"/>
      <c r="F797" s="93"/>
      <c r="G797" s="93"/>
      <c r="H797" s="93"/>
      <c r="I797" s="43" t="str">
        <f>IF(AND(A797&gt;=Dashboard!$B$2,A797&lt;EDATE(Dashboard!$B$2,1),D797&lt;&gt;""),E797,"")</f>
        <v/>
      </c>
      <c r="J797" s="43" t="str">
        <f t="shared" si="1"/>
        <v/>
      </c>
    </row>
    <row r="798" ht="15.75" customHeight="1">
      <c r="A798" s="99"/>
      <c r="B798" s="93"/>
      <c r="C798" s="93"/>
      <c r="D798" s="93"/>
      <c r="E798" s="94"/>
      <c r="F798" s="93"/>
      <c r="G798" s="93"/>
      <c r="H798" s="93"/>
      <c r="I798" s="43" t="str">
        <f>IF(AND(A798&gt;=Dashboard!$B$2,A798&lt;EDATE(Dashboard!$B$2,1),D798&lt;&gt;""),E798,"")</f>
        <v/>
      </c>
      <c r="J798" s="43" t="str">
        <f t="shared" si="1"/>
        <v/>
      </c>
    </row>
    <row r="799" ht="15.75" customHeight="1">
      <c r="A799" s="99"/>
      <c r="B799" s="93"/>
      <c r="C799" s="93"/>
      <c r="D799" s="93"/>
      <c r="E799" s="94"/>
      <c r="F799" s="93"/>
      <c r="G799" s="93"/>
      <c r="H799" s="93"/>
      <c r="I799" s="43" t="str">
        <f>IF(AND(A799&gt;=Dashboard!$B$2,A799&lt;EDATE(Dashboard!$B$2,1),D799&lt;&gt;""),E799,"")</f>
        <v/>
      </c>
      <c r="J799" s="43" t="str">
        <f t="shared" si="1"/>
        <v/>
      </c>
    </row>
    <row r="800" ht="15.75" customHeight="1">
      <c r="A800" s="99"/>
      <c r="B800" s="93"/>
      <c r="C800" s="93"/>
      <c r="D800" s="93"/>
      <c r="E800" s="94"/>
      <c r="F800" s="93"/>
      <c r="G800" s="93"/>
      <c r="H800" s="93"/>
      <c r="I800" s="43" t="str">
        <f>IF(AND(A800&gt;=Dashboard!$B$2,A800&lt;EDATE(Dashboard!$B$2,1),D800&lt;&gt;""),E800,"")</f>
        <v/>
      </c>
      <c r="J800" s="43" t="str">
        <f t="shared" si="1"/>
        <v/>
      </c>
    </row>
    <row r="801" ht="15.75" customHeight="1">
      <c r="A801" s="99"/>
      <c r="B801" s="93"/>
      <c r="C801" s="93"/>
      <c r="D801" s="93"/>
      <c r="E801" s="94"/>
      <c r="F801" s="93"/>
      <c r="G801" s="93"/>
      <c r="H801" s="93"/>
      <c r="I801" s="43" t="str">
        <f>IF(AND(A801&gt;=Dashboard!$B$2,A801&lt;EDATE(Dashboard!$B$2,1),D801&lt;&gt;""),E801,"")</f>
        <v/>
      </c>
      <c r="J801" s="43" t="str">
        <f t="shared" si="1"/>
        <v/>
      </c>
    </row>
    <row r="802" ht="15.75" customHeight="1">
      <c r="A802" s="99"/>
      <c r="B802" s="93"/>
      <c r="C802" s="93"/>
      <c r="D802" s="93"/>
      <c r="E802" s="94"/>
      <c r="F802" s="93"/>
      <c r="G802" s="93"/>
      <c r="H802" s="93"/>
      <c r="I802" s="43" t="str">
        <f>IF(AND(A802&gt;=Dashboard!$B$2,A802&lt;EDATE(Dashboard!$B$2,1),D802&lt;&gt;""),E802,"")</f>
        <v/>
      </c>
      <c r="J802" s="43" t="str">
        <f t="shared" si="1"/>
        <v/>
      </c>
    </row>
    <row r="803" ht="15.75" customHeight="1">
      <c r="A803" s="99"/>
      <c r="B803" s="93"/>
      <c r="C803" s="93"/>
      <c r="D803" s="93"/>
      <c r="E803" s="94"/>
      <c r="F803" s="93"/>
      <c r="G803" s="93"/>
      <c r="H803" s="93"/>
      <c r="I803" s="43" t="str">
        <f>IF(AND(A803&gt;=Dashboard!$B$2,A803&lt;EDATE(Dashboard!$B$2,1),D803&lt;&gt;""),E803,"")</f>
        <v/>
      </c>
      <c r="J803" s="43" t="str">
        <f t="shared" si="1"/>
        <v/>
      </c>
    </row>
    <row r="804" ht="15.75" customHeight="1">
      <c r="A804" s="99"/>
      <c r="B804" s="93"/>
      <c r="C804" s="93"/>
      <c r="D804" s="93"/>
      <c r="E804" s="94"/>
      <c r="F804" s="93"/>
      <c r="G804" s="93"/>
      <c r="H804" s="93"/>
      <c r="I804" s="43" t="str">
        <f>IF(AND(A804&gt;=Dashboard!$B$2,A804&lt;EDATE(Dashboard!$B$2,1),D804&lt;&gt;""),E804,"")</f>
        <v/>
      </c>
      <c r="J804" s="43" t="str">
        <f t="shared" si="1"/>
        <v/>
      </c>
    </row>
    <row r="805" ht="15.75" customHeight="1">
      <c r="A805" s="99"/>
      <c r="B805" s="93"/>
      <c r="C805" s="93"/>
      <c r="D805" s="93"/>
      <c r="E805" s="94"/>
      <c r="F805" s="93"/>
      <c r="G805" s="93"/>
      <c r="H805" s="93"/>
      <c r="I805" s="43" t="str">
        <f>IF(AND(A805&gt;=Dashboard!$B$2,A805&lt;EDATE(Dashboard!$B$2,1),D805&lt;&gt;""),E805,"")</f>
        <v/>
      </c>
      <c r="J805" s="43" t="str">
        <f t="shared" si="1"/>
        <v/>
      </c>
    </row>
    <row r="806" ht="15.75" customHeight="1">
      <c r="A806" s="99"/>
      <c r="B806" s="93"/>
      <c r="C806" s="93"/>
      <c r="D806" s="93"/>
      <c r="E806" s="94"/>
      <c r="F806" s="93"/>
      <c r="G806" s="93"/>
      <c r="H806" s="93"/>
      <c r="I806" s="43" t="str">
        <f>IF(AND(A806&gt;=Dashboard!$B$2,A806&lt;EDATE(Dashboard!$B$2,1),D806&lt;&gt;""),E806,"")</f>
        <v/>
      </c>
      <c r="J806" s="43" t="str">
        <f t="shared" si="1"/>
        <v/>
      </c>
    </row>
    <row r="807" ht="15.75" customHeight="1">
      <c r="A807" s="99"/>
      <c r="B807" s="93"/>
      <c r="C807" s="93"/>
      <c r="D807" s="93"/>
      <c r="E807" s="94"/>
      <c r="F807" s="93"/>
      <c r="G807" s="93"/>
      <c r="H807" s="93"/>
      <c r="I807" s="43" t="str">
        <f>IF(AND(A807&gt;=Dashboard!$B$2,A807&lt;EDATE(Dashboard!$B$2,1),D807&lt;&gt;""),E807,"")</f>
        <v/>
      </c>
      <c r="J807" s="43" t="str">
        <f t="shared" si="1"/>
        <v/>
      </c>
    </row>
    <row r="808" ht="15.75" customHeight="1">
      <c r="A808" s="99"/>
      <c r="B808" s="93"/>
      <c r="C808" s="93"/>
      <c r="D808" s="93"/>
      <c r="E808" s="94"/>
      <c r="F808" s="93"/>
      <c r="G808" s="93"/>
      <c r="H808" s="93"/>
      <c r="I808" s="43" t="str">
        <f>IF(AND(A808&gt;=Dashboard!$B$2,A808&lt;EDATE(Dashboard!$B$2,1),D808&lt;&gt;""),E808,"")</f>
        <v/>
      </c>
      <c r="J808" s="43" t="str">
        <f t="shared" si="1"/>
        <v/>
      </c>
    </row>
    <row r="809" ht="15.75" customHeight="1">
      <c r="A809" s="99"/>
      <c r="B809" s="93"/>
      <c r="C809" s="93"/>
      <c r="D809" s="93"/>
      <c r="E809" s="94"/>
      <c r="F809" s="93"/>
      <c r="G809" s="93"/>
      <c r="H809" s="93"/>
      <c r="I809" s="43" t="str">
        <f>IF(AND(A809&gt;=Dashboard!$B$2,A809&lt;EDATE(Dashboard!$B$2,1),D809&lt;&gt;""),E809,"")</f>
        <v/>
      </c>
      <c r="J809" s="43" t="str">
        <f t="shared" si="1"/>
        <v/>
      </c>
    </row>
    <row r="810" ht="15.75" customHeight="1">
      <c r="A810" s="99"/>
      <c r="B810" s="93"/>
      <c r="C810" s="93"/>
      <c r="D810" s="93"/>
      <c r="E810" s="94"/>
      <c r="F810" s="93"/>
      <c r="G810" s="93"/>
      <c r="H810" s="93"/>
      <c r="I810" s="43" t="str">
        <f>IF(AND(A810&gt;=Dashboard!$B$2,A810&lt;EDATE(Dashboard!$B$2,1),D810&lt;&gt;""),E810,"")</f>
        <v/>
      </c>
      <c r="J810" s="43" t="str">
        <f t="shared" si="1"/>
        <v/>
      </c>
    </row>
    <row r="811" ht="15.75" customHeight="1">
      <c r="A811" s="99"/>
      <c r="B811" s="93"/>
      <c r="C811" s="93"/>
      <c r="D811" s="93"/>
      <c r="E811" s="94"/>
      <c r="F811" s="93"/>
      <c r="G811" s="93"/>
      <c r="H811" s="93"/>
      <c r="I811" s="43" t="str">
        <f>IF(AND(A811&gt;=Dashboard!$B$2,A811&lt;EDATE(Dashboard!$B$2,1),D811&lt;&gt;""),E811,"")</f>
        <v/>
      </c>
      <c r="J811" s="43" t="str">
        <f t="shared" si="1"/>
        <v/>
      </c>
    </row>
    <row r="812" ht="15.75" customHeight="1">
      <c r="A812" s="99"/>
      <c r="B812" s="93"/>
      <c r="C812" s="93"/>
      <c r="D812" s="93"/>
      <c r="E812" s="94"/>
      <c r="F812" s="93"/>
      <c r="G812" s="93"/>
      <c r="H812" s="93"/>
      <c r="I812" s="43" t="str">
        <f>IF(AND(A812&gt;=Dashboard!$B$2,A812&lt;EDATE(Dashboard!$B$2,1),D812&lt;&gt;""),E812,"")</f>
        <v/>
      </c>
      <c r="J812" s="43" t="str">
        <f t="shared" si="1"/>
        <v/>
      </c>
    </row>
    <row r="813" ht="15.75" customHeight="1">
      <c r="A813" s="99"/>
      <c r="B813" s="93"/>
      <c r="C813" s="93"/>
      <c r="D813" s="93"/>
      <c r="E813" s="94"/>
      <c r="F813" s="93"/>
      <c r="G813" s="93"/>
      <c r="H813" s="93"/>
      <c r="I813" s="43" t="str">
        <f>IF(AND(A813&gt;=Dashboard!$B$2,A813&lt;EDATE(Dashboard!$B$2,1),D813&lt;&gt;""),E813,"")</f>
        <v/>
      </c>
      <c r="J813" s="43" t="str">
        <f t="shared" si="1"/>
        <v/>
      </c>
    </row>
    <row r="814" ht="15.75" customHeight="1">
      <c r="A814" s="99"/>
      <c r="B814" s="93"/>
      <c r="C814" s="93"/>
      <c r="D814" s="93"/>
      <c r="E814" s="94"/>
      <c r="F814" s="93"/>
      <c r="G814" s="93"/>
      <c r="H814" s="93"/>
      <c r="I814" s="43" t="str">
        <f>IF(AND(A814&gt;=Dashboard!$B$2,A814&lt;EDATE(Dashboard!$B$2,1),D814&lt;&gt;""),E814,"")</f>
        <v/>
      </c>
      <c r="J814" s="43" t="str">
        <f t="shared" si="1"/>
        <v/>
      </c>
    </row>
    <row r="815" ht="15.75" customHeight="1">
      <c r="A815" s="99"/>
      <c r="B815" s="93"/>
      <c r="C815" s="93"/>
      <c r="D815" s="93"/>
      <c r="E815" s="94"/>
      <c r="F815" s="93"/>
      <c r="G815" s="93"/>
      <c r="H815" s="93"/>
      <c r="I815" s="43" t="str">
        <f>IF(AND(A815&gt;=Dashboard!$B$2,A815&lt;EDATE(Dashboard!$B$2,1),D815&lt;&gt;""),E815,"")</f>
        <v/>
      </c>
      <c r="J815" s="43" t="str">
        <f t="shared" si="1"/>
        <v/>
      </c>
    </row>
    <row r="816" ht="15.75" customHeight="1">
      <c r="A816" s="99"/>
      <c r="B816" s="93"/>
      <c r="C816" s="93"/>
      <c r="D816" s="93"/>
      <c r="E816" s="94"/>
      <c r="F816" s="93"/>
      <c r="G816" s="93"/>
      <c r="H816" s="93"/>
      <c r="I816" s="43" t="str">
        <f>IF(AND(A816&gt;=Dashboard!$B$2,A816&lt;EDATE(Dashboard!$B$2,1),D816&lt;&gt;""),E816,"")</f>
        <v/>
      </c>
      <c r="J816" s="43" t="str">
        <f t="shared" si="1"/>
        <v/>
      </c>
    </row>
    <row r="817" ht="15.75" customHeight="1">
      <c r="A817" s="99"/>
      <c r="B817" s="93"/>
      <c r="C817" s="93"/>
      <c r="D817" s="93"/>
      <c r="E817" s="94"/>
      <c r="F817" s="93"/>
      <c r="G817" s="93"/>
      <c r="H817" s="93"/>
      <c r="I817" s="43" t="str">
        <f>IF(AND(A817&gt;=Dashboard!$B$2,A817&lt;EDATE(Dashboard!$B$2,1),D817&lt;&gt;""),E817,"")</f>
        <v/>
      </c>
      <c r="J817" s="43" t="str">
        <f t="shared" si="1"/>
        <v/>
      </c>
    </row>
    <row r="818" ht="15.75" customHeight="1">
      <c r="A818" s="99"/>
      <c r="B818" s="93"/>
      <c r="C818" s="93"/>
      <c r="D818" s="93"/>
      <c r="E818" s="94"/>
      <c r="F818" s="93"/>
      <c r="G818" s="93"/>
      <c r="H818" s="93"/>
      <c r="I818" s="43" t="str">
        <f>IF(AND(A818&gt;=Dashboard!$B$2,A818&lt;EDATE(Dashboard!$B$2,1),D818&lt;&gt;""),E818,"")</f>
        <v/>
      </c>
      <c r="J818" s="43" t="str">
        <f t="shared" si="1"/>
        <v/>
      </c>
    </row>
    <row r="819" ht="15.75" customHeight="1">
      <c r="A819" s="99"/>
      <c r="B819" s="93"/>
      <c r="C819" s="93"/>
      <c r="D819" s="93"/>
      <c r="E819" s="94"/>
      <c r="F819" s="93"/>
      <c r="G819" s="93"/>
      <c r="H819" s="93"/>
      <c r="I819" s="43" t="str">
        <f>IF(AND(A819&gt;=Dashboard!$B$2,A819&lt;EDATE(Dashboard!$B$2,1),D819&lt;&gt;""),E819,"")</f>
        <v/>
      </c>
      <c r="J819" s="43" t="str">
        <f t="shared" si="1"/>
        <v/>
      </c>
    </row>
    <row r="820" ht="15.75" customHeight="1">
      <c r="A820" s="99"/>
      <c r="B820" s="93"/>
      <c r="C820" s="93"/>
      <c r="D820" s="93"/>
      <c r="E820" s="94"/>
      <c r="F820" s="93"/>
      <c r="G820" s="93"/>
      <c r="H820" s="93"/>
      <c r="I820" s="43" t="str">
        <f>IF(AND(A820&gt;=Dashboard!$B$2,A820&lt;EDATE(Dashboard!$B$2,1),D820&lt;&gt;""),E820,"")</f>
        <v/>
      </c>
      <c r="J820" s="43" t="str">
        <f t="shared" si="1"/>
        <v/>
      </c>
    </row>
    <row r="821" ht="15.75" customHeight="1">
      <c r="A821" s="99"/>
      <c r="B821" s="93"/>
      <c r="C821" s="93"/>
      <c r="D821" s="93"/>
      <c r="E821" s="94"/>
      <c r="F821" s="93"/>
      <c r="G821" s="93"/>
      <c r="H821" s="93"/>
      <c r="I821" s="43" t="str">
        <f>IF(AND(A821&gt;=Dashboard!$B$2,A821&lt;EDATE(Dashboard!$B$2,1),D821&lt;&gt;""),E821,"")</f>
        <v/>
      </c>
      <c r="J821" s="43" t="str">
        <f t="shared" si="1"/>
        <v/>
      </c>
    </row>
    <row r="822" ht="15.75" customHeight="1">
      <c r="A822" s="99"/>
      <c r="B822" s="93"/>
      <c r="C822" s="93"/>
      <c r="D822" s="93"/>
      <c r="E822" s="94"/>
      <c r="F822" s="93"/>
      <c r="G822" s="93"/>
      <c r="H822" s="93"/>
      <c r="I822" s="43" t="str">
        <f>IF(AND(A822&gt;=Dashboard!$B$2,A822&lt;EDATE(Dashboard!$B$2,1),D822&lt;&gt;""),E822,"")</f>
        <v/>
      </c>
      <c r="J822" s="43" t="str">
        <f t="shared" si="1"/>
        <v/>
      </c>
    </row>
    <row r="823" ht="15.75" customHeight="1">
      <c r="A823" s="99"/>
      <c r="B823" s="93"/>
      <c r="C823" s="93"/>
      <c r="D823" s="93"/>
      <c r="E823" s="94"/>
      <c r="F823" s="93"/>
      <c r="G823" s="93"/>
      <c r="H823" s="93"/>
      <c r="I823" s="43" t="str">
        <f>IF(AND(A823&gt;=Dashboard!$B$2,A823&lt;EDATE(Dashboard!$B$2,1),D823&lt;&gt;""),E823,"")</f>
        <v/>
      </c>
      <c r="J823" s="43" t="str">
        <f t="shared" si="1"/>
        <v/>
      </c>
    </row>
    <row r="824" ht="15.75" customHeight="1">
      <c r="A824" s="99"/>
      <c r="B824" s="93"/>
      <c r="C824" s="93"/>
      <c r="D824" s="93"/>
      <c r="E824" s="94"/>
      <c r="F824" s="93"/>
      <c r="G824" s="93"/>
      <c r="H824" s="93"/>
      <c r="I824" s="43" t="str">
        <f>IF(AND(A824&gt;=Dashboard!$B$2,A824&lt;EDATE(Dashboard!$B$2,1),D824&lt;&gt;""),E824,"")</f>
        <v/>
      </c>
      <c r="J824" s="43" t="str">
        <f t="shared" si="1"/>
        <v/>
      </c>
    </row>
    <row r="825" ht="15.75" customHeight="1">
      <c r="A825" s="99"/>
      <c r="B825" s="93"/>
      <c r="C825" s="93"/>
      <c r="D825" s="93"/>
      <c r="E825" s="94"/>
      <c r="F825" s="93"/>
      <c r="G825" s="93"/>
      <c r="H825" s="93"/>
      <c r="I825" s="43" t="str">
        <f>IF(AND(A825&gt;=Dashboard!$B$2,A825&lt;EDATE(Dashboard!$B$2,1),D825&lt;&gt;""),E825,"")</f>
        <v/>
      </c>
      <c r="J825" s="43" t="str">
        <f t="shared" si="1"/>
        <v/>
      </c>
    </row>
    <row r="826" ht="15.75" customHeight="1">
      <c r="A826" s="99"/>
      <c r="B826" s="93"/>
      <c r="C826" s="93"/>
      <c r="D826" s="93"/>
      <c r="E826" s="94"/>
      <c r="F826" s="93"/>
      <c r="G826" s="93"/>
      <c r="H826" s="93"/>
      <c r="I826" s="43" t="str">
        <f>IF(AND(A826&gt;=Dashboard!$B$2,A826&lt;EDATE(Dashboard!$B$2,1),D826&lt;&gt;""),E826,"")</f>
        <v/>
      </c>
      <c r="J826" s="43" t="str">
        <f t="shared" si="1"/>
        <v/>
      </c>
    </row>
    <row r="827" ht="15.75" customHeight="1">
      <c r="A827" s="99"/>
      <c r="B827" s="93"/>
      <c r="C827" s="93"/>
      <c r="D827" s="93"/>
      <c r="E827" s="94"/>
      <c r="F827" s="93"/>
      <c r="G827" s="93"/>
      <c r="H827" s="93"/>
      <c r="I827" s="43" t="str">
        <f>IF(AND(A827&gt;=Dashboard!$B$2,A827&lt;EDATE(Dashboard!$B$2,1),D827&lt;&gt;""),E827,"")</f>
        <v/>
      </c>
      <c r="J827" s="43" t="str">
        <f t="shared" si="1"/>
        <v/>
      </c>
    </row>
    <row r="828" ht="15.75" customHeight="1">
      <c r="A828" s="99"/>
      <c r="B828" s="93"/>
      <c r="C828" s="93"/>
      <c r="D828" s="93"/>
      <c r="E828" s="94"/>
      <c r="F828" s="93"/>
      <c r="G828" s="93"/>
      <c r="H828" s="93"/>
      <c r="I828" s="43" t="str">
        <f>IF(AND(A828&gt;=Dashboard!$B$2,A828&lt;EDATE(Dashboard!$B$2,1),D828&lt;&gt;""),E828,"")</f>
        <v/>
      </c>
      <c r="J828" s="43" t="str">
        <f t="shared" si="1"/>
        <v/>
      </c>
    </row>
    <row r="829" ht="15.75" customHeight="1">
      <c r="A829" s="99"/>
      <c r="B829" s="93"/>
      <c r="C829" s="93"/>
      <c r="D829" s="93"/>
      <c r="E829" s="94"/>
      <c r="F829" s="93"/>
      <c r="G829" s="93"/>
      <c r="H829" s="93"/>
      <c r="I829" s="43" t="str">
        <f>IF(AND(A829&gt;=Dashboard!$B$2,A829&lt;EDATE(Dashboard!$B$2,1),D829&lt;&gt;""),E829,"")</f>
        <v/>
      </c>
      <c r="J829" s="43" t="str">
        <f t="shared" si="1"/>
        <v/>
      </c>
    </row>
    <row r="830" ht="15.75" customHeight="1">
      <c r="A830" s="99"/>
      <c r="B830" s="93"/>
      <c r="C830" s="93"/>
      <c r="D830" s="93"/>
      <c r="E830" s="94"/>
      <c r="F830" s="93"/>
      <c r="G830" s="93"/>
      <c r="H830" s="93"/>
      <c r="I830" s="43" t="str">
        <f>IF(AND(A830&gt;=Dashboard!$B$2,A830&lt;EDATE(Dashboard!$B$2,1),D830&lt;&gt;""),E830,"")</f>
        <v/>
      </c>
      <c r="J830" s="43" t="str">
        <f t="shared" si="1"/>
        <v/>
      </c>
    </row>
    <row r="831" ht="15.75" customHeight="1">
      <c r="A831" s="99"/>
      <c r="B831" s="93"/>
      <c r="C831" s="93"/>
      <c r="D831" s="93"/>
      <c r="E831" s="94"/>
      <c r="F831" s="93"/>
      <c r="G831" s="93"/>
      <c r="H831" s="93"/>
      <c r="I831" s="43" t="str">
        <f>IF(AND(A831&gt;=Dashboard!$B$2,A831&lt;EDATE(Dashboard!$B$2,1),D831&lt;&gt;""),E831,"")</f>
        <v/>
      </c>
      <c r="J831" s="43" t="str">
        <f t="shared" si="1"/>
        <v/>
      </c>
    </row>
    <row r="832" ht="15.75" customHeight="1">
      <c r="A832" s="99"/>
      <c r="B832" s="93"/>
      <c r="C832" s="93"/>
      <c r="D832" s="93"/>
      <c r="E832" s="94"/>
      <c r="F832" s="93"/>
      <c r="G832" s="93"/>
      <c r="H832" s="93"/>
      <c r="I832" s="43" t="str">
        <f>IF(AND(A832&gt;=Dashboard!$B$2,A832&lt;EDATE(Dashboard!$B$2,1),D832&lt;&gt;""),E832,"")</f>
        <v/>
      </c>
      <c r="J832" s="43" t="str">
        <f t="shared" si="1"/>
        <v/>
      </c>
    </row>
    <row r="833" ht="15.75" customHeight="1">
      <c r="A833" s="99"/>
      <c r="B833" s="93"/>
      <c r="C833" s="93"/>
      <c r="D833" s="93"/>
      <c r="E833" s="94"/>
      <c r="F833" s="93"/>
      <c r="G833" s="93"/>
      <c r="H833" s="93"/>
      <c r="I833" s="43" t="str">
        <f>IF(AND(A833&gt;=Dashboard!$B$2,A833&lt;EDATE(Dashboard!$B$2,1),D833&lt;&gt;""),E833,"")</f>
        <v/>
      </c>
      <c r="J833" s="43" t="str">
        <f t="shared" si="1"/>
        <v/>
      </c>
    </row>
    <row r="834" ht="15.75" customHeight="1">
      <c r="A834" s="99"/>
      <c r="B834" s="93"/>
      <c r="C834" s="93"/>
      <c r="D834" s="93"/>
      <c r="E834" s="94"/>
      <c r="F834" s="93"/>
      <c r="G834" s="93"/>
      <c r="H834" s="93"/>
      <c r="I834" s="43" t="str">
        <f>IF(AND(A834&gt;=Dashboard!$B$2,A834&lt;EDATE(Dashboard!$B$2,1),D834&lt;&gt;""),E834,"")</f>
        <v/>
      </c>
      <c r="J834" s="43" t="str">
        <f t="shared" si="1"/>
        <v/>
      </c>
    </row>
    <row r="835" ht="15.75" customHeight="1">
      <c r="A835" s="99"/>
      <c r="B835" s="93"/>
      <c r="C835" s="93"/>
      <c r="D835" s="93"/>
      <c r="E835" s="94"/>
      <c r="F835" s="93"/>
      <c r="G835" s="93"/>
      <c r="H835" s="93"/>
      <c r="I835" s="43" t="str">
        <f>IF(AND(A835&gt;=Dashboard!$B$2,A835&lt;EDATE(Dashboard!$B$2,1),D835&lt;&gt;""),E835,"")</f>
        <v/>
      </c>
      <c r="J835" s="43" t="str">
        <f t="shared" si="1"/>
        <v/>
      </c>
    </row>
    <row r="836" ht="15.75" customHeight="1">
      <c r="A836" s="99"/>
      <c r="B836" s="93"/>
      <c r="C836" s="93"/>
      <c r="D836" s="93"/>
      <c r="E836" s="94"/>
      <c r="F836" s="93"/>
      <c r="G836" s="93"/>
      <c r="H836" s="93"/>
      <c r="I836" s="43" t="str">
        <f>IF(AND(A836&gt;=Dashboard!$B$2,A836&lt;EDATE(Dashboard!$B$2,1),D836&lt;&gt;""),E836,"")</f>
        <v/>
      </c>
      <c r="J836" s="43" t="str">
        <f t="shared" si="1"/>
        <v/>
      </c>
    </row>
    <row r="837" ht="15.75" customHeight="1">
      <c r="A837" s="99"/>
      <c r="B837" s="93"/>
      <c r="C837" s="93"/>
      <c r="D837" s="93"/>
      <c r="E837" s="94"/>
      <c r="F837" s="93"/>
      <c r="G837" s="93"/>
      <c r="H837" s="93"/>
      <c r="I837" s="43" t="str">
        <f>IF(AND(A837&gt;=Dashboard!$B$2,A837&lt;EDATE(Dashboard!$B$2,1),D837&lt;&gt;""),E837,"")</f>
        <v/>
      </c>
      <c r="J837" s="43" t="str">
        <f t="shared" si="1"/>
        <v/>
      </c>
    </row>
    <row r="838" ht="15.75" customHeight="1">
      <c r="A838" s="99"/>
      <c r="B838" s="93"/>
      <c r="C838" s="93"/>
      <c r="D838" s="93"/>
      <c r="E838" s="94"/>
      <c r="F838" s="93"/>
      <c r="G838" s="93"/>
      <c r="H838" s="93"/>
      <c r="I838" s="43" t="str">
        <f>IF(AND(A838&gt;=Dashboard!$B$2,A838&lt;EDATE(Dashboard!$B$2,1),D838&lt;&gt;""),E838,"")</f>
        <v/>
      </c>
      <c r="J838" s="43" t="str">
        <f t="shared" si="1"/>
        <v/>
      </c>
    </row>
    <row r="839" ht="15.75" customHeight="1">
      <c r="A839" s="99"/>
      <c r="B839" s="93"/>
      <c r="C839" s="93"/>
      <c r="D839" s="93"/>
      <c r="E839" s="94"/>
      <c r="F839" s="93"/>
      <c r="G839" s="93"/>
      <c r="H839" s="93"/>
      <c r="I839" s="43" t="str">
        <f>IF(AND(A839&gt;=Dashboard!$B$2,A839&lt;EDATE(Dashboard!$B$2,1),D839&lt;&gt;""),E839,"")</f>
        <v/>
      </c>
      <c r="J839" s="43" t="str">
        <f t="shared" si="1"/>
        <v/>
      </c>
    </row>
    <row r="840" ht="15.75" customHeight="1">
      <c r="A840" s="99"/>
      <c r="B840" s="93"/>
      <c r="C840" s="93"/>
      <c r="D840" s="93"/>
      <c r="E840" s="94"/>
      <c r="F840" s="93"/>
      <c r="G840" s="93"/>
      <c r="H840" s="93"/>
      <c r="I840" s="43" t="str">
        <f>IF(AND(A840&gt;=Dashboard!$B$2,A840&lt;EDATE(Dashboard!$B$2,1),D840&lt;&gt;""),E840,"")</f>
        <v/>
      </c>
      <c r="J840" s="43" t="str">
        <f t="shared" si="1"/>
        <v/>
      </c>
    </row>
    <row r="841" ht="15.75" customHeight="1">
      <c r="A841" s="99"/>
      <c r="B841" s="93"/>
      <c r="C841" s="93"/>
      <c r="D841" s="93"/>
      <c r="E841" s="94"/>
      <c r="F841" s="93"/>
      <c r="G841" s="93"/>
      <c r="H841" s="93"/>
      <c r="I841" s="43" t="str">
        <f>IF(AND(A841&gt;=Dashboard!$B$2,A841&lt;EDATE(Dashboard!$B$2,1),D841&lt;&gt;""),E841,"")</f>
        <v/>
      </c>
      <c r="J841" s="43" t="str">
        <f t="shared" si="1"/>
        <v/>
      </c>
    </row>
    <row r="842" ht="15.75" customHeight="1">
      <c r="A842" s="99"/>
      <c r="B842" s="93"/>
      <c r="C842" s="93"/>
      <c r="D842" s="93"/>
      <c r="E842" s="94"/>
      <c r="F842" s="93"/>
      <c r="G842" s="93"/>
      <c r="H842" s="93"/>
      <c r="I842" s="43" t="str">
        <f>IF(AND(A842&gt;=Dashboard!$B$2,A842&lt;EDATE(Dashboard!$B$2,1),D842&lt;&gt;""),E842,"")</f>
        <v/>
      </c>
      <c r="J842" s="43" t="str">
        <f t="shared" si="1"/>
        <v/>
      </c>
    </row>
    <row r="843" ht="15.75" customHeight="1">
      <c r="A843" s="99"/>
      <c r="B843" s="93"/>
      <c r="C843" s="93"/>
      <c r="D843" s="93"/>
      <c r="E843" s="94"/>
      <c r="F843" s="93"/>
      <c r="G843" s="93"/>
      <c r="H843" s="93"/>
      <c r="I843" s="43" t="str">
        <f>IF(AND(A843&gt;=Dashboard!$B$2,A843&lt;EDATE(Dashboard!$B$2,1),D843&lt;&gt;""),E843,"")</f>
        <v/>
      </c>
      <c r="J843" s="43" t="str">
        <f t="shared" si="1"/>
        <v/>
      </c>
    </row>
    <row r="844" ht="15.75" customHeight="1">
      <c r="A844" s="99"/>
      <c r="B844" s="93"/>
      <c r="C844" s="93"/>
      <c r="D844" s="93"/>
      <c r="E844" s="94"/>
      <c r="F844" s="93"/>
      <c r="G844" s="93"/>
      <c r="H844" s="93"/>
      <c r="I844" s="43" t="str">
        <f>IF(AND(A844&gt;=Dashboard!$B$2,A844&lt;EDATE(Dashboard!$B$2,1),D844&lt;&gt;""),E844,"")</f>
        <v/>
      </c>
      <c r="J844" s="43" t="str">
        <f t="shared" si="1"/>
        <v/>
      </c>
    </row>
    <row r="845" ht="15.75" customHeight="1">
      <c r="A845" s="99"/>
      <c r="B845" s="93"/>
      <c r="C845" s="93"/>
      <c r="D845" s="93"/>
      <c r="E845" s="94"/>
      <c r="F845" s="93"/>
      <c r="G845" s="93"/>
      <c r="H845" s="93"/>
      <c r="I845" s="43" t="str">
        <f>IF(AND(A845&gt;=Dashboard!$B$2,A845&lt;EDATE(Dashboard!$B$2,1),D845&lt;&gt;""),E845,"")</f>
        <v/>
      </c>
      <c r="J845" s="43" t="str">
        <f t="shared" si="1"/>
        <v/>
      </c>
    </row>
    <row r="846" ht="15.75" customHeight="1">
      <c r="A846" s="99"/>
      <c r="B846" s="93"/>
      <c r="C846" s="93"/>
      <c r="D846" s="93"/>
      <c r="E846" s="94"/>
      <c r="F846" s="93"/>
      <c r="G846" s="93"/>
      <c r="H846" s="93"/>
      <c r="I846" s="43" t="str">
        <f>IF(AND(A846&gt;=Dashboard!$B$2,A846&lt;EDATE(Dashboard!$B$2,1),D846&lt;&gt;""),E846,"")</f>
        <v/>
      </c>
      <c r="J846" s="43" t="str">
        <f t="shared" si="1"/>
        <v/>
      </c>
    </row>
    <row r="847" ht="15.75" customHeight="1">
      <c r="A847" s="99"/>
      <c r="B847" s="93"/>
      <c r="C847" s="93"/>
      <c r="D847" s="93"/>
      <c r="E847" s="94"/>
      <c r="F847" s="93"/>
      <c r="G847" s="93"/>
      <c r="H847" s="93"/>
      <c r="I847" s="43" t="str">
        <f>IF(AND(A847&gt;=Dashboard!$B$2,A847&lt;EDATE(Dashboard!$B$2,1),D847&lt;&gt;""),E847,"")</f>
        <v/>
      </c>
      <c r="J847" s="43" t="str">
        <f t="shared" si="1"/>
        <v/>
      </c>
    </row>
    <row r="848" ht="15.75" customHeight="1">
      <c r="A848" s="99"/>
      <c r="B848" s="93"/>
      <c r="C848" s="93"/>
      <c r="D848" s="93"/>
      <c r="E848" s="94"/>
      <c r="F848" s="93"/>
      <c r="G848" s="93"/>
      <c r="H848" s="93"/>
      <c r="I848" s="43" t="str">
        <f>IF(AND(A848&gt;=Dashboard!$B$2,A848&lt;EDATE(Dashboard!$B$2,1),D848&lt;&gt;""),E848,"")</f>
        <v/>
      </c>
      <c r="J848" s="43" t="str">
        <f t="shared" si="1"/>
        <v/>
      </c>
    </row>
    <row r="849" ht="15.75" customHeight="1">
      <c r="A849" s="99"/>
      <c r="B849" s="93"/>
      <c r="C849" s="93"/>
      <c r="D849" s="93"/>
      <c r="E849" s="94"/>
      <c r="F849" s="93"/>
      <c r="G849" s="93"/>
      <c r="H849" s="93"/>
      <c r="I849" s="43" t="str">
        <f>IF(AND(A849&gt;=Dashboard!$B$2,A849&lt;EDATE(Dashboard!$B$2,1),D849&lt;&gt;""),E849,"")</f>
        <v/>
      </c>
      <c r="J849" s="43" t="str">
        <f t="shared" si="1"/>
        <v/>
      </c>
    </row>
    <row r="850" ht="15.75" customHeight="1">
      <c r="A850" s="99"/>
      <c r="B850" s="93"/>
      <c r="C850" s="93"/>
      <c r="D850" s="93"/>
      <c r="E850" s="94"/>
      <c r="F850" s="93"/>
      <c r="G850" s="93"/>
      <c r="H850" s="93"/>
      <c r="I850" s="43" t="str">
        <f>IF(AND(A850&gt;=Dashboard!$B$2,A850&lt;EDATE(Dashboard!$B$2,1),D850&lt;&gt;""),E850,"")</f>
        <v/>
      </c>
      <c r="J850" s="43" t="str">
        <f t="shared" si="1"/>
        <v/>
      </c>
    </row>
    <row r="851" ht="15.75" customHeight="1">
      <c r="A851" s="99"/>
      <c r="B851" s="93"/>
      <c r="C851" s="93"/>
      <c r="D851" s="93"/>
      <c r="E851" s="94"/>
      <c r="F851" s="93"/>
      <c r="G851" s="93"/>
      <c r="H851" s="93"/>
      <c r="I851" s="43" t="str">
        <f>IF(AND(A851&gt;=Dashboard!$B$2,A851&lt;EDATE(Dashboard!$B$2,1),D851&lt;&gt;""),E851,"")</f>
        <v/>
      </c>
      <c r="J851" s="43" t="str">
        <f t="shared" si="1"/>
        <v/>
      </c>
    </row>
    <row r="852" ht="15.75" customHeight="1">
      <c r="A852" s="99"/>
      <c r="B852" s="93"/>
      <c r="C852" s="93"/>
      <c r="D852" s="93"/>
      <c r="E852" s="94"/>
      <c r="F852" s="93"/>
      <c r="G852" s="93"/>
      <c r="H852" s="93"/>
      <c r="I852" s="43" t="str">
        <f>IF(AND(A852&gt;=Dashboard!$B$2,A852&lt;EDATE(Dashboard!$B$2,1),D852&lt;&gt;""),E852,"")</f>
        <v/>
      </c>
      <c r="J852" s="43" t="str">
        <f t="shared" si="1"/>
        <v/>
      </c>
    </row>
    <row r="853" ht="15.75" customHeight="1">
      <c r="A853" s="99"/>
      <c r="B853" s="93"/>
      <c r="C853" s="93"/>
      <c r="D853" s="93"/>
      <c r="E853" s="94"/>
      <c r="F853" s="93"/>
      <c r="G853" s="93"/>
      <c r="H853" s="93"/>
      <c r="I853" s="43" t="str">
        <f>IF(AND(A853&gt;=Dashboard!$B$2,A853&lt;EDATE(Dashboard!$B$2,1),D853&lt;&gt;""),E853,"")</f>
        <v/>
      </c>
      <c r="J853" s="43" t="str">
        <f t="shared" si="1"/>
        <v/>
      </c>
    </row>
    <row r="854" ht="15.75" customHeight="1">
      <c r="A854" s="99"/>
      <c r="B854" s="93"/>
      <c r="C854" s="93"/>
      <c r="D854" s="93"/>
      <c r="E854" s="94"/>
      <c r="F854" s="93"/>
      <c r="G854" s="93"/>
      <c r="H854" s="93"/>
      <c r="I854" s="43" t="str">
        <f>IF(AND(A854&gt;=Dashboard!$B$2,A854&lt;EDATE(Dashboard!$B$2,1),D854&lt;&gt;""),E854,"")</f>
        <v/>
      </c>
      <c r="J854" s="43" t="str">
        <f t="shared" si="1"/>
        <v/>
      </c>
    </row>
    <row r="855" ht="15.75" customHeight="1">
      <c r="A855" s="99"/>
      <c r="B855" s="93"/>
      <c r="C855" s="93"/>
      <c r="D855" s="93"/>
      <c r="E855" s="94"/>
      <c r="F855" s="93"/>
      <c r="G855" s="93"/>
      <c r="H855" s="93"/>
      <c r="I855" s="43" t="str">
        <f>IF(AND(A855&gt;=Dashboard!$B$2,A855&lt;EDATE(Dashboard!$B$2,1),D855&lt;&gt;""),E855,"")</f>
        <v/>
      </c>
      <c r="J855" s="43" t="str">
        <f t="shared" si="1"/>
        <v/>
      </c>
    </row>
    <row r="856" ht="15.75" customHeight="1">
      <c r="A856" s="99"/>
      <c r="B856" s="93"/>
      <c r="C856" s="93"/>
      <c r="D856" s="93"/>
      <c r="E856" s="94"/>
      <c r="F856" s="93"/>
      <c r="G856" s="93"/>
      <c r="H856" s="93"/>
      <c r="I856" s="43" t="str">
        <f>IF(AND(A856&gt;=Dashboard!$B$2,A856&lt;EDATE(Dashboard!$B$2,1),D856&lt;&gt;""),E856,"")</f>
        <v/>
      </c>
      <c r="J856" s="43" t="str">
        <f t="shared" si="1"/>
        <v/>
      </c>
    </row>
    <row r="857" ht="15.75" customHeight="1">
      <c r="A857" s="99"/>
      <c r="B857" s="93"/>
      <c r="C857" s="93"/>
      <c r="D857" s="93"/>
      <c r="E857" s="94"/>
      <c r="F857" s="93"/>
      <c r="G857" s="93"/>
      <c r="H857" s="93"/>
      <c r="I857" s="43" t="str">
        <f>IF(AND(A857&gt;=Dashboard!$B$2,A857&lt;EDATE(Dashboard!$B$2,1),D857&lt;&gt;""),E857,"")</f>
        <v/>
      </c>
      <c r="J857" s="43" t="str">
        <f t="shared" si="1"/>
        <v/>
      </c>
    </row>
    <row r="858" ht="15.75" customHeight="1">
      <c r="A858" s="99"/>
      <c r="B858" s="93"/>
      <c r="C858" s="93"/>
      <c r="D858" s="93"/>
      <c r="E858" s="94"/>
      <c r="F858" s="93"/>
      <c r="G858" s="93"/>
      <c r="H858" s="93"/>
      <c r="I858" s="43" t="str">
        <f>IF(AND(A858&gt;=Dashboard!$B$2,A858&lt;EDATE(Dashboard!$B$2,1),D858&lt;&gt;""),E858,"")</f>
        <v/>
      </c>
      <c r="J858" s="43" t="str">
        <f t="shared" si="1"/>
        <v/>
      </c>
    </row>
    <row r="859" ht="15.75" customHeight="1">
      <c r="A859" s="99"/>
      <c r="B859" s="93"/>
      <c r="C859" s="93"/>
      <c r="D859" s="93"/>
      <c r="E859" s="94"/>
      <c r="F859" s="93"/>
      <c r="G859" s="93"/>
      <c r="H859" s="93"/>
      <c r="I859" s="43" t="str">
        <f>IF(AND(A859&gt;=Dashboard!$B$2,A859&lt;EDATE(Dashboard!$B$2,1),D859&lt;&gt;""),E859,"")</f>
        <v/>
      </c>
      <c r="J859" s="43" t="str">
        <f t="shared" si="1"/>
        <v/>
      </c>
    </row>
    <row r="860" ht="15.75" customHeight="1">
      <c r="A860" s="99"/>
      <c r="B860" s="93"/>
      <c r="C860" s="93"/>
      <c r="D860" s="93"/>
      <c r="E860" s="94"/>
      <c r="F860" s="93"/>
      <c r="G860" s="93"/>
      <c r="H860" s="93"/>
      <c r="I860" s="43" t="str">
        <f>IF(AND(A860&gt;=Dashboard!$B$2,A860&lt;EDATE(Dashboard!$B$2,1),D860&lt;&gt;""),E860,"")</f>
        <v/>
      </c>
      <c r="J860" s="43" t="str">
        <f t="shared" si="1"/>
        <v/>
      </c>
    </row>
    <row r="861" ht="15.75" customHeight="1">
      <c r="A861" s="99"/>
      <c r="B861" s="93"/>
      <c r="C861" s="93"/>
      <c r="D861" s="93"/>
      <c r="E861" s="94"/>
      <c r="F861" s="93"/>
      <c r="G861" s="93"/>
      <c r="H861" s="93"/>
      <c r="I861" s="43" t="str">
        <f>IF(AND(A861&gt;=Dashboard!$B$2,A861&lt;EDATE(Dashboard!$B$2,1),D861&lt;&gt;""),E861,"")</f>
        <v/>
      </c>
      <c r="J861" s="43" t="str">
        <f t="shared" si="1"/>
        <v/>
      </c>
    </row>
    <row r="862" ht="15.75" customHeight="1">
      <c r="A862" s="99"/>
      <c r="B862" s="93"/>
      <c r="C862" s="93"/>
      <c r="D862" s="93"/>
      <c r="E862" s="94"/>
      <c r="F862" s="93"/>
      <c r="G862" s="93"/>
      <c r="H862" s="93"/>
      <c r="I862" s="43" t="str">
        <f>IF(AND(A862&gt;=Dashboard!$B$2,A862&lt;EDATE(Dashboard!$B$2,1),D862&lt;&gt;""),E862,"")</f>
        <v/>
      </c>
      <c r="J862" s="43" t="str">
        <f t="shared" si="1"/>
        <v/>
      </c>
    </row>
    <row r="863" ht="15.75" customHeight="1">
      <c r="A863" s="99"/>
      <c r="B863" s="93"/>
      <c r="C863" s="93"/>
      <c r="D863" s="93"/>
      <c r="E863" s="94"/>
      <c r="F863" s="93"/>
      <c r="G863" s="93"/>
      <c r="H863" s="93"/>
      <c r="I863" s="43" t="str">
        <f>IF(AND(A863&gt;=Dashboard!$B$2,A863&lt;EDATE(Dashboard!$B$2,1),D863&lt;&gt;""),E863,"")</f>
        <v/>
      </c>
      <c r="J863" s="43" t="str">
        <f t="shared" si="1"/>
        <v/>
      </c>
    </row>
    <row r="864" ht="15.75" customHeight="1">
      <c r="A864" s="99"/>
      <c r="B864" s="93"/>
      <c r="C864" s="93"/>
      <c r="D864" s="93"/>
      <c r="E864" s="94"/>
      <c r="F864" s="93"/>
      <c r="G864" s="93"/>
      <c r="H864" s="93"/>
      <c r="I864" s="43" t="str">
        <f>IF(AND(A864&gt;=Dashboard!$B$2,A864&lt;EDATE(Dashboard!$B$2,1),D864&lt;&gt;""),E864,"")</f>
        <v/>
      </c>
      <c r="J864" s="43" t="str">
        <f t="shared" si="1"/>
        <v/>
      </c>
    </row>
    <row r="865" ht="15.75" customHeight="1">
      <c r="A865" s="99"/>
      <c r="B865" s="93"/>
      <c r="C865" s="93"/>
      <c r="D865" s="93"/>
      <c r="E865" s="94"/>
      <c r="F865" s="93"/>
      <c r="G865" s="93"/>
      <c r="H865" s="93"/>
      <c r="I865" s="43" t="str">
        <f>IF(AND(A865&gt;=Dashboard!$B$2,A865&lt;EDATE(Dashboard!$B$2,1),D865&lt;&gt;""),E865,"")</f>
        <v/>
      </c>
      <c r="J865" s="43" t="str">
        <f t="shared" si="1"/>
        <v/>
      </c>
    </row>
    <row r="866" ht="15.75" customHeight="1">
      <c r="A866" s="99"/>
      <c r="B866" s="93"/>
      <c r="C866" s="93"/>
      <c r="D866" s="93"/>
      <c r="E866" s="94"/>
      <c r="F866" s="93"/>
      <c r="G866" s="93"/>
      <c r="H866" s="93"/>
      <c r="I866" s="43" t="str">
        <f>IF(AND(A866&gt;=Dashboard!$B$2,A866&lt;EDATE(Dashboard!$B$2,1),D866&lt;&gt;""),E866,"")</f>
        <v/>
      </c>
      <c r="J866" s="43" t="str">
        <f t="shared" si="1"/>
        <v/>
      </c>
    </row>
    <row r="867" ht="15.75" customHeight="1">
      <c r="A867" s="99"/>
      <c r="B867" s="93"/>
      <c r="C867" s="93"/>
      <c r="D867" s="93"/>
      <c r="E867" s="94"/>
      <c r="F867" s="93"/>
      <c r="G867" s="93"/>
      <c r="H867" s="93"/>
      <c r="I867" s="43" t="str">
        <f>IF(AND(A867&gt;=Dashboard!$B$2,A867&lt;EDATE(Dashboard!$B$2,1),D867&lt;&gt;""),E867,"")</f>
        <v/>
      </c>
      <c r="J867" s="43" t="str">
        <f t="shared" si="1"/>
        <v/>
      </c>
    </row>
    <row r="868" ht="15.75" customHeight="1">
      <c r="A868" s="99"/>
      <c r="B868" s="93"/>
      <c r="C868" s="93"/>
      <c r="D868" s="93"/>
      <c r="E868" s="94"/>
      <c r="F868" s="93"/>
      <c r="G868" s="93"/>
      <c r="H868" s="93"/>
      <c r="I868" s="43" t="str">
        <f>IF(AND(A868&gt;=Dashboard!$B$2,A868&lt;EDATE(Dashboard!$B$2,1),D868&lt;&gt;""),E868,"")</f>
        <v/>
      </c>
      <c r="J868" s="43" t="str">
        <f t="shared" si="1"/>
        <v/>
      </c>
    </row>
    <row r="869" ht="15.75" customHeight="1">
      <c r="A869" s="99"/>
      <c r="B869" s="93"/>
      <c r="C869" s="93"/>
      <c r="D869" s="93"/>
      <c r="E869" s="94"/>
      <c r="F869" s="93"/>
      <c r="G869" s="93"/>
      <c r="H869" s="93"/>
      <c r="I869" s="43" t="str">
        <f>IF(AND(A869&gt;=Dashboard!$B$2,A869&lt;EDATE(Dashboard!$B$2,1),D869&lt;&gt;""),E869,"")</f>
        <v/>
      </c>
      <c r="J869" s="43" t="str">
        <f t="shared" si="1"/>
        <v/>
      </c>
    </row>
    <row r="870" ht="15.75" customHeight="1">
      <c r="A870" s="99"/>
      <c r="B870" s="93"/>
      <c r="C870" s="93"/>
      <c r="D870" s="93"/>
      <c r="E870" s="94"/>
      <c r="F870" s="93"/>
      <c r="G870" s="93"/>
      <c r="H870" s="93"/>
      <c r="I870" s="43" t="str">
        <f>IF(AND(A870&gt;=Dashboard!$B$2,A870&lt;EDATE(Dashboard!$B$2,1),D870&lt;&gt;""),E870,"")</f>
        <v/>
      </c>
      <c r="J870" s="43" t="str">
        <f t="shared" si="1"/>
        <v/>
      </c>
    </row>
    <row r="871" ht="15.75" customHeight="1">
      <c r="A871" s="99"/>
      <c r="B871" s="93"/>
      <c r="C871" s="93"/>
      <c r="D871" s="93"/>
      <c r="E871" s="94"/>
      <c r="F871" s="93"/>
      <c r="G871" s="93"/>
      <c r="H871" s="93"/>
      <c r="I871" s="43" t="str">
        <f>IF(AND(A871&gt;=Dashboard!$B$2,A871&lt;EDATE(Dashboard!$B$2,1),D871&lt;&gt;""),E871,"")</f>
        <v/>
      </c>
      <c r="J871" s="43" t="str">
        <f t="shared" si="1"/>
        <v/>
      </c>
    </row>
    <row r="872" ht="15.75" customHeight="1">
      <c r="A872" s="99"/>
      <c r="B872" s="93"/>
      <c r="C872" s="93"/>
      <c r="D872" s="93"/>
      <c r="E872" s="94"/>
      <c r="F872" s="93"/>
      <c r="G872" s="93"/>
      <c r="H872" s="93"/>
      <c r="I872" s="43" t="str">
        <f>IF(AND(A872&gt;=Dashboard!$B$2,A872&lt;EDATE(Dashboard!$B$2,1),D872&lt;&gt;""),E872,"")</f>
        <v/>
      </c>
      <c r="J872" s="43" t="str">
        <f t="shared" si="1"/>
        <v/>
      </c>
    </row>
    <row r="873" ht="15.75" customHeight="1">
      <c r="A873" s="99"/>
      <c r="B873" s="93"/>
      <c r="C873" s="93"/>
      <c r="D873" s="93"/>
      <c r="E873" s="94"/>
      <c r="F873" s="93"/>
      <c r="G873" s="93"/>
      <c r="H873" s="93"/>
      <c r="I873" s="43" t="str">
        <f>IF(AND(A873&gt;=Dashboard!$B$2,A873&lt;EDATE(Dashboard!$B$2,1),D873&lt;&gt;""),E873,"")</f>
        <v/>
      </c>
      <c r="J873" s="43" t="str">
        <f t="shared" si="1"/>
        <v/>
      </c>
    </row>
    <row r="874" ht="15.75" customHeight="1">
      <c r="A874" s="99"/>
      <c r="B874" s="93"/>
      <c r="C874" s="93"/>
      <c r="D874" s="93"/>
      <c r="E874" s="94"/>
      <c r="F874" s="93"/>
      <c r="G874" s="93"/>
      <c r="H874" s="93"/>
      <c r="I874" s="43" t="str">
        <f>IF(AND(A874&gt;=Dashboard!$B$2,A874&lt;EDATE(Dashboard!$B$2,1),D874&lt;&gt;""),E874,"")</f>
        <v/>
      </c>
      <c r="J874" s="43" t="str">
        <f t="shared" si="1"/>
        <v/>
      </c>
    </row>
    <row r="875" ht="15.75" customHeight="1">
      <c r="A875" s="99"/>
      <c r="B875" s="93"/>
      <c r="C875" s="93"/>
      <c r="D875" s="93"/>
      <c r="E875" s="94"/>
      <c r="F875" s="93"/>
      <c r="G875" s="93"/>
      <c r="H875" s="93"/>
      <c r="I875" s="43" t="str">
        <f>IF(AND(A875&gt;=Dashboard!$B$2,A875&lt;EDATE(Dashboard!$B$2,1),D875&lt;&gt;""),E875,"")</f>
        <v/>
      </c>
      <c r="J875" s="43" t="str">
        <f t="shared" si="1"/>
        <v/>
      </c>
    </row>
    <row r="876" ht="15.75" customHeight="1">
      <c r="A876" s="99"/>
      <c r="B876" s="93"/>
      <c r="C876" s="93"/>
      <c r="D876" s="93"/>
      <c r="E876" s="94"/>
      <c r="F876" s="93"/>
      <c r="G876" s="93"/>
      <c r="H876" s="93"/>
      <c r="I876" s="43" t="str">
        <f>IF(AND(A876&gt;=Dashboard!$B$2,A876&lt;EDATE(Dashboard!$B$2,1),D876&lt;&gt;""),E876,"")</f>
        <v/>
      </c>
      <c r="J876" s="43" t="str">
        <f t="shared" si="1"/>
        <v/>
      </c>
    </row>
    <row r="877" ht="15.75" customHeight="1">
      <c r="A877" s="99"/>
      <c r="B877" s="93"/>
      <c r="C877" s="93"/>
      <c r="D877" s="93"/>
      <c r="E877" s="94"/>
      <c r="F877" s="93"/>
      <c r="G877" s="93"/>
      <c r="H877" s="93"/>
      <c r="I877" s="43" t="str">
        <f>IF(AND(A877&gt;=Dashboard!$B$2,A877&lt;EDATE(Dashboard!$B$2,1),D877&lt;&gt;""),E877,"")</f>
        <v/>
      </c>
      <c r="J877" s="43" t="str">
        <f t="shared" si="1"/>
        <v/>
      </c>
    </row>
    <row r="878" ht="15.75" customHeight="1">
      <c r="A878" s="99"/>
      <c r="B878" s="93"/>
      <c r="C878" s="93"/>
      <c r="D878" s="93"/>
      <c r="E878" s="94"/>
      <c r="F878" s="93"/>
      <c r="G878" s="93"/>
      <c r="H878" s="93"/>
      <c r="I878" s="43" t="str">
        <f>IF(AND(A878&gt;=Dashboard!$B$2,A878&lt;EDATE(Dashboard!$B$2,1),D878&lt;&gt;""),E878,"")</f>
        <v/>
      </c>
      <c r="J878" s="43" t="str">
        <f t="shared" si="1"/>
        <v/>
      </c>
    </row>
    <row r="879" ht="15.75" customHeight="1">
      <c r="A879" s="99"/>
      <c r="B879" s="93"/>
      <c r="C879" s="93"/>
      <c r="D879" s="93"/>
      <c r="E879" s="94"/>
      <c r="F879" s="93"/>
      <c r="G879" s="93"/>
      <c r="H879" s="93"/>
      <c r="I879" s="43" t="str">
        <f>IF(AND(A879&gt;=Dashboard!$B$2,A879&lt;EDATE(Dashboard!$B$2,1),D879&lt;&gt;""),E879,"")</f>
        <v/>
      </c>
      <c r="J879" s="43" t="str">
        <f t="shared" si="1"/>
        <v/>
      </c>
    </row>
    <row r="880" ht="15.75" customHeight="1">
      <c r="A880" s="99"/>
      <c r="B880" s="93"/>
      <c r="C880" s="93"/>
      <c r="D880" s="93"/>
      <c r="E880" s="94"/>
      <c r="F880" s="93"/>
      <c r="G880" s="93"/>
      <c r="H880" s="93"/>
      <c r="I880" s="43" t="str">
        <f>IF(AND(A880&gt;=Dashboard!$B$2,A880&lt;EDATE(Dashboard!$B$2,1),D880&lt;&gt;""),E880,"")</f>
        <v/>
      </c>
      <c r="J880" s="43" t="str">
        <f t="shared" si="1"/>
        <v/>
      </c>
    </row>
    <row r="881" ht="15.75" customHeight="1">
      <c r="A881" s="99"/>
      <c r="B881" s="93"/>
      <c r="C881" s="93"/>
      <c r="D881" s="93"/>
      <c r="E881" s="94"/>
      <c r="F881" s="93"/>
      <c r="G881" s="93"/>
      <c r="H881" s="93"/>
      <c r="I881" s="43" t="str">
        <f>IF(AND(A881&gt;=Dashboard!$B$2,A881&lt;EDATE(Dashboard!$B$2,1),D881&lt;&gt;""),E881,"")</f>
        <v/>
      </c>
      <c r="J881" s="43" t="str">
        <f t="shared" si="1"/>
        <v/>
      </c>
    </row>
    <row r="882" ht="15.75" customHeight="1">
      <c r="A882" s="99"/>
      <c r="B882" s="93"/>
      <c r="C882" s="93"/>
      <c r="D882" s="93"/>
      <c r="E882" s="94"/>
      <c r="F882" s="93"/>
      <c r="G882" s="93"/>
      <c r="H882" s="93"/>
      <c r="I882" s="43" t="str">
        <f>IF(AND(A882&gt;=Dashboard!$B$2,A882&lt;EDATE(Dashboard!$B$2,1),D882&lt;&gt;""),E882,"")</f>
        <v/>
      </c>
      <c r="J882" s="43" t="str">
        <f t="shared" si="1"/>
        <v/>
      </c>
    </row>
    <row r="883" ht="15.75" customHeight="1">
      <c r="A883" s="99"/>
      <c r="B883" s="93"/>
      <c r="C883" s="93"/>
      <c r="D883" s="93"/>
      <c r="E883" s="94"/>
      <c r="F883" s="93"/>
      <c r="G883" s="93"/>
      <c r="H883" s="93"/>
      <c r="I883" s="43" t="str">
        <f>IF(AND(A883&gt;=Dashboard!$B$2,A883&lt;EDATE(Dashboard!$B$2,1),D883&lt;&gt;""),E883,"")</f>
        <v/>
      </c>
      <c r="J883" s="43" t="str">
        <f t="shared" si="1"/>
        <v/>
      </c>
    </row>
    <row r="884" ht="15.75" customHeight="1">
      <c r="A884" s="99"/>
      <c r="B884" s="93"/>
      <c r="C884" s="93"/>
      <c r="D884" s="93"/>
      <c r="E884" s="94"/>
      <c r="F884" s="93"/>
      <c r="G884" s="93"/>
      <c r="H884" s="93"/>
      <c r="I884" s="43" t="str">
        <f>IF(AND(A884&gt;=Dashboard!$B$2,A884&lt;EDATE(Dashboard!$B$2,1),D884&lt;&gt;""),E884,"")</f>
        <v/>
      </c>
      <c r="J884" s="43" t="str">
        <f t="shared" si="1"/>
        <v/>
      </c>
    </row>
    <row r="885" ht="15.75" customHeight="1">
      <c r="A885" s="99"/>
      <c r="B885" s="93"/>
      <c r="C885" s="93"/>
      <c r="D885" s="93"/>
      <c r="E885" s="94"/>
      <c r="F885" s="93"/>
      <c r="G885" s="93"/>
      <c r="H885" s="93"/>
      <c r="I885" s="43" t="str">
        <f>IF(AND(A885&gt;=Dashboard!$B$2,A885&lt;EDATE(Dashboard!$B$2,1),D885&lt;&gt;""),E885,"")</f>
        <v/>
      </c>
      <c r="J885" s="43" t="str">
        <f t="shared" si="1"/>
        <v/>
      </c>
    </row>
    <row r="886" ht="15.75" customHeight="1">
      <c r="A886" s="99"/>
      <c r="B886" s="93"/>
      <c r="C886" s="93"/>
      <c r="D886" s="93"/>
      <c r="E886" s="94"/>
      <c r="F886" s="93"/>
      <c r="G886" s="93"/>
      <c r="H886" s="93"/>
      <c r="I886" s="43" t="str">
        <f>IF(AND(A886&gt;=Dashboard!$B$2,A886&lt;EDATE(Dashboard!$B$2,1),D886&lt;&gt;""),E886,"")</f>
        <v/>
      </c>
      <c r="J886" s="43" t="str">
        <f t="shared" si="1"/>
        <v/>
      </c>
    </row>
    <row r="887" ht="15.75" customHeight="1">
      <c r="A887" s="99"/>
      <c r="B887" s="93"/>
      <c r="C887" s="93"/>
      <c r="D887" s="93"/>
      <c r="E887" s="94"/>
      <c r="F887" s="93"/>
      <c r="G887" s="93"/>
      <c r="H887" s="93"/>
      <c r="I887" s="43" t="str">
        <f>IF(AND(A887&gt;=Dashboard!$B$2,A887&lt;EDATE(Dashboard!$B$2,1),D887&lt;&gt;""),E887,"")</f>
        <v/>
      </c>
      <c r="J887" s="43" t="str">
        <f t="shared" si="1"/>
        <v/>
      </c>
    </row>
    <row r="888" ht="15.75" customHeight="1">
      <c r="A888" s="99"/>
      <c r="B888" s="93"/>
      <c r="C888" s="93"/>
      <c r="D888" s="93"/>
      <c r="E888" s="94"/>
      <c r="F888" s="93"/>
      <c r="G888" s="93"/>
      <c r="H888" s="93"/>
      <c r="I888" s="43" t="str">
        <f>IF(AND(A888&gt;=Dashboard!$B$2,A888&lt;EDATE(Dashboard!$B$2,1),D888&lt;&gt;""),E888,"")</f>
        <v/>
      </c>
      <c r="J888" s="43" t="str">
        <f t="shared" si="1"/>
        <v/>
      </c>
    </row>
    <row r="889" ht="15.75" customHeight="1">
      <c r="A889" s="99"/>
      <c r="B889" s="93"/>
      <c r="C889" s="93"/>
      <c r="D889" s="93"/>
      <c r="E889" s="94"/>
      <c r="F889" s="93"/>
      <c r="G889" s="93"/>
      <c r="H889" s="93"/>
      <c r="I889" s="43" t="str">
        <f>IF(AND(A889&gt;=Dashboard!$B$2,A889&lt;EDATE(Dashboard!$B$2,1),D889&lt;&gt;""),E889,"")</f>
        <v/>
      </c>
      <c r="J889" s="43" t="str">
        <f t="shared" si="1"/>
        <v/>
      </c>
    </row>
    <row r="890" ht="15.75" customHeight="1">
      <c r="A890" s="99"/>
      <c r="B890" s="93"/>
      <c r="C890" s="93"/>
      <c r="D890" s="93"/>
      <c r="E890" s="94"/>
      <c r="F890" s="93"/>
      <c r="G890" s="93"/>
      <c r="H890" s="93"/>
      <c r="I890" s="43" t="str">
        <f>IF(AND(A890&gt;=Dashboard!$B$2,A890&lt;EDATE(Dashboard!$B$2,1),D890&lt;&gt;""),E890,"")</f>
        <v/>
      </c>
      <c r="J890" s="43" t="str">
        <f t="shared" si="1"/>
        <v/>
      </c>
    </row>
    <row r="891" ht="15.75" customHeight="1">
      <c r="A891" s="99"/>
      <c r="B891" s="93"/>
      <c r="C891" s="93"/>
      <c r="D891" s="93"/>
      <c r="E891" s="94"/>
      <c r="F891" s="93"/>
      <c r="G891" s="93"/>
      <c r="H891" s="93"/>
      <c r="I891" s="43" t="str">
        <f>IF(AND(A891&gt;=Dashboard!$B$2,A891&lt;EDATE(Dashboard!$B$2,1),D891&lt;&gt;""),E891,"")</f>
        <v/>
      </c>
      <c r="J891" s="43" t="str">
        <f t="shared" si="1"/>
        <v/>
      </c>
    </row>
    <row r="892" ht="15.75" customHeight="1">
      <c r="A892" s="99"/>
      <c r="B892" s="93"/>
      <c r="C892" s="93"/>
      <c r="D892" s="93"/>
      <c r="E892" s="94"/>
      <c r="F892" s="93"/>
      <c r="G892" s="93"/>
      <c r="H892" s="93"/>
      <c r="I892" s="43" t="str">
        <f>IF(AND(A892&gt;=Dashboard!$B$2,A892&lt;EDATE(Dashboard!$B$2,1),D892&lt;&gt;""),E892,"")</f>
        <v/>
      </c>
      <c r="J892" s="43" t="str">
        <f t="shared" si="1"/>
        <v/>
      </c>
    </row>
    <row r="893" ht="15.75" customHeight="1">
      <c r="A893" s="99"/>
      <c r="B893" s="93"/>
      <c r="C893" s="93"/>
      <c r="D893" s="93"/>
      <c r="E893" s="94"/>
      <c r="F893" s="93"/>
      <c r="G893" s="93"/>
      <c r="H893" s="93"/>
      <c r="I893" s="43" t="str">
        <f>IF(AND(A893&gt;=Dashboard!$B$2,A893&lt;EDATE(Dashboard!$B$2,1),D893&lt;&gt;""),E893,"")</f>
        <v/>
      </c>
      <c r="J893" s="43" t="str">
        <f t="shared" si="1"/>
        <v/>
      </c>
    </row>
    <row r="894" ht="15.75" customHeight="1">
      <c r="A894" s="99"/>
      <c r="B894" s="93"/>
      <c r="C894" s="93"/>
      <c r="D894" s="93"/>
      <c r="E894" s="94"/>
      <c r="F894" s="93"/>
      <c r="G894" s="93"/>
      <c r="H894" s="93"/>
      <c r="I894" s="43" t="str">
        <f>IF(AND(A894&gt;=Dashboard!$B$2,A894&lt;EDATE(Dashboard!$B$2,1),D894&lt;&gt;""),E894,"")</f>
        <v/>
      </c>
      <c r="J894" s="43" t="str">
        <f t="shared" si="1"/>
        <v/>
      </c>
    </row>
    <row r="895" ht="15.75" customHeight="1">
      <c r="A895" s="99"/>
      <c r="B895" s="93"/>
      <c r="C895" s="93"/>
      <c r="D895" s="93"/>
      <c r="E895" s="94"/>
      <c r="F895" s="93"/>
      <c r="G895" s="93"/>
      <c r="H895" s="93"/>
      <c r="I895" s="43" t="str">
        <f>IF(AND(A895&gt;=Dashboard!$B$2,A895&lt;EDATE(Dashboard!$B$2,1),D895&lt;&gt;""),E895,"")</f>
        <v/>
      </c>
      <c r="J895" s="43" t="str">
        <f t="shared" si="1"/>
        <v/>
      </c>
    </row>
    <row r="896" ht="15.75" customHeight="1">
      <c r="A896" s="99"/>
      <c r="B896" s="93"/>
      <c r="C896" s="93"/>
      <c r="D896" s="93"/>
      <c r="E896" s="94"/>
      <c r="F896" s="93"/>
      <c r="G896" s="93"/>
      <c r="H896" s="93"/>
      <c r="I896" s="43" t="str">
        <f>IF(AND(A896&gt;=Dashboard!$B$2,A896&lt;EDATE(Dashboard!$B$2,1),D896&lt;&gt;""),E896,"")</f>
        <v/>
      </c>
      <c r="J896" s="43" t="str">
        <f t="shared" si="1"/>
        <v/>
      </c>
    </row>
    <row r="897" ht="15.75" customHeight="1">
      <c r="A897" s="99"/>
      <c r="B897" s="93"/>
      <c r="C897" s="93"/>
      <c r="D897" s="93"/>
      <c r="E897" s="94"/>
      <c r="F897" s="93"/>
      <c r="G897" s="93"/>
      <c r="H897" s="93"/>
      <c r="I897" s="43" t="str">
        <f>IF(AND(A897&gt;=Dashboard!$B$2,A897&lt;EDATE(Dashboard!$B$2,1),D897&lt;&gt;""),E897,"")</f>
        <v/>
      </c>
      <c r="J897" s="43" t="str">
        <f t="shared" si="1"/>
        <v/>
      </c>
    </row>
    <row r="898" ht="15.75" customHeight="1">
      <c r="A898" s="99"/>
      <c r="B898" s="93"/>
      <c r="C898" s="93"/>
      <c r="D898" s="93"/>
      <c r="E898" s="94"/>
      <c r="F898" s="93"/>
      <c r="G898" s="93"/>
      <c r="H898" s="93"/>
      <c r="I898" s="43" t="str">
        <f>IF(AND(A898&gt;=Dashboard!$B$2,A898&lt;EDATE(Dashboard!$B$2,1),D898&lt;&gt;""),E898,"")</f>
        <v/>
      </c>
      <c r="J898" s="43" t="str">
        <f t="shared" si="1"/>
        <v/>
      </c>
    </row>
    <row r="899" ht="15.75" customHeight="1">
      <c r="A899" s="99"/>
      <c r="B899" s="93"/>
      <c r="C899" s="93"/>
      <c r="D899" s="93"/>
      <c r="E899" s="94"/>
      <c r="F899" s="93"/>
      <c r="G899" s="93"/>
      <c r="H899" s="93"/>
      <c r="I899" s="43" t="str">
        <f>IF(AND(A899&gt;=Dashboard!$B$2,A899&lt;EDATE(Dashboard!$B$2,1),D899&lt;&gt;""),E899,"")</f>
        <v/>
      </c>
      <c r="J899" s="43" t="str">
        <f t="shared" si="1"/>
        <v/>
      </c>
    </row>
    <row r="900" ht="15.75" customHeight="1">
      <c r="A900" s="99"/>
      <c r="B900" s="93"/>
      <c r="C900" s="93"/>
      <c r="D900" s="93"/>
      <c r="E900" s="94"/>
      <c r="F900" s="93"/>
      <c r="G900" s="93"/>
      <c r="H900" s="93"/>
      <c r="I900" s="43" t="str">
        <f>IF(AND(A900&gt;=Dashboard!$B$2,A900&lt;EDATE(Dashboard!$B$2,1),D900&lt;&gt;""),E900,"")</f>
        <v/>
      </c>
      <c r="J900" s="43" t="str">
        <f t="shared" si="1"/>
        <v/>
      </c>
    </row>
    <row r="901" ht="15.75" customHeight="1">
      <c r="A901" s="99"/>
      <c r="B901" s="93"/>
      <c r="C901" s="93"/>
      <c r="D901" s="93"/>
      <c r="E901" s="94"/>
      <c r="F901" s="93"/>
      <c r="G901" s="93"/>
      <c r="H901" s="93"/>
      <c r="I901" s="43" t="str">
        <f>IF(AND(A901&gt;=Dashboard!$B$2,A901&lt;EDATE(Dashboard!$B$2,1),D901&lt;&gt;""),E901,"")</f>
        <v/>
      </c>
      <c r="J901" s="43" t="str">
        <f t="shared" si="1"/>
        <v/>
      </c>
    </row>
    <row r="902" ht="15.75" customHeight="1">
      <c r="A902" s="99"/>
      <c r="B902" s="93"/>
      <c r="C902" s="93"/>
      <c r="D902" s="93"/>
      <c r="E902" s="94"/>
      <c r="F902" s="93"/>
      <c r="G902" s="93"/>
      <c r="H902" s="93"/>
      <c r="I902" s="43" t="str">
        <f>IF(AND(A902&gt;=Dashboard!$B$2,A902&lt;EDATE(Dashboard!$B$2,1),D902&lt;&gt;""),E902,"")</f>
        <v/>
      </c>
      <c r="J902" s="43" t="str">
        <f t="shared" si="1"/>
        <v/>
      </c>
    </row>
    <row r="903" ht="15.75" customHeight="1">
      <c r="A903" s="99"/>
      <c r="B903" s="93"/>
      <c r="C903" s="93"/>
      <c r="D903" s="93"/>
      <c r="E903" s="94"/>
      <c r="F903" s="93"/>
      <c r="G903" s="93"/>
      <c r="H903" s="93"/>
      <c r="I903" s="43" t="str">
        <f>IF(AND(A903&gt;=Dashboard!$B$2,A903&lt;EDATE(Dashboard!$B$2,1),D903&lt;&gt;""),E903,"")</f>
        <v/>
      </c>
      <c r="J903" s="43" t="str">
        <f t="shared" si="1"/>
        <v/>
      </c>
    </row>
    <row r="904" ht="15.75" customHeight="1">
      <c r="A904" s="99"/>
      <c r="B904" s="93"/>
      <c r="C904" s="93"/>
      <c r="D904" s="93"/>
      <c r="E904" s="94"/>
      <c r="F904" s="93"/>
      <c r="G904" s="93"/>
      <c r="H904" s="93"/>
      <c r="I904" s="43" t="str">
        <f>IF(AND(A904&gt;=Dashboard!$B$2,A904&lt;EDATE(Dashboard!$B$2,1),D904&lt;&gt;""),E904,"")</f>
        <v/>
      </c>
      <c r="J904" s="43" t="str">
        <f t="shared" si="1"/>
        <v/>
      </c>
    </row>
    <row r="905" ht="15.75" customHeight="1">
      <c r="A905" s="99"/>
      <c r="B905" s="93"/>
      <c r="C905" s="93"/>
      <c r="D905" s="93"/>
      <c r="E905" s="94"/>
      <c r="F905" s="93"/>
      <c r="G905" s="93"/>
      <c r="H905" s="93"/>
      <c r="I905" s="43" t="str">
        <f>IF(AND(A905&gt;=Dashboard!$B$2,A905&lt;EDATE(Dashboard!$B$2,1),D905&lt;&gt;""),E905,"")</f>
        <v/>
      </c>
      <c r="J905" s="43" t="str">
        <f t="shared" si="1"/>
        <v/>
      </c>
    </row>
    <row r="906" ht="15.75" customHeight="1">
      <c r="A906" s="99"/>
      <c r="B906" s="93"/>
      <c r="C906" s="93"/>
      <c r="D906" s="93"/>
      <c r="E906" s="94"/>
      <c r="F906" s="93"/>
      <c r="G906" s="93"/>
      <c r="H906" s="93"/>
      <c r="I906" s="43" t="str">
        <f>IF(AND(A906&gt;=Dashboard!$B$2,A906&lt;EDATE(Dashboard!$B$2,1),D906&lt;&gt;""),E906,"")</f>
        <v/>
      </c>
      <c r="J906" s="43" t="str">
        <f t="shared" si="1"/>
        <v/>
      </c>
    </row>
    <row r="907" ht="15.75" customHeight="1">
      <c r="A907" s="99"/>
      <c r="B907" s="93"/>
      <c r="C907" s="93"/>
      <c r="D907" s="93"/>
      <c r="E907" s="94"/>
      <c r="F907" s="93"/>
      <c r="G907" s="93"/>
      <c r="H907" s="93"/>
      <c r="I907" s="43" t="str">
        <f>IF(AND(A907&gt;=Dashboard!$B$2,A907&lt;EDATE(Dashboard!$B$2,1),D907&lt;&gt;""),E907,"")</f>
        <v/>
      </c>
      <c r="J907" s="43" t="str">
        <f t="shared" si="1"/>
        <v/>
      </c>
    </row>
    <row r="908" ht="15.75" customHeight="1">
      <c r="A908" s="99"/>
      <c r="B908" s="93"/>
      <c r="C908" s="93"/>
      <c r="D908" s="93"/>
      <c r="E908" s="94"/>
      <c r="F908" s="93"/>
      <c r="G908" s="93"/>
      <c r="H908" s="93"/>
      <c r="I908" s="43" t="str">
        <f>IF(AND(A908&gt;=Dashboard!$B$2,A908&lt;EDATE(Dashboard!$B$2,1),D908&lt;&gt;""),E908,"")</f>
        <v/>
      </c>
      <c r="J908" s="43" t="str">
        <f t="shared" si="1"/>
        <v/>
      </c>
    </row>
    <row r="909" ht="15.75" customHeight="1">
      <c r="A909" s="99"/>
      <c r="B909" s="93"/>
      <c r="C909" s="93"/>
      <c r="D909" s="93"/>
      <c r="E909" s="94"/>
      <c r="F909" s="93"/>
      <c r="G909" s="93"/>
      <c r="H909" s="93"/>
      <c r="I909" s="43" t="str">
        <f>IF(AND(A909&gt;=Dashboard!$B$2,A909&lt;EDATE(Dashboard!$B$2,1),D909&lt;&gt;""),E909,"")</f>
        <v/>
      </c>
      <c r="J909" s="43" t="str">
        <f t="shared" si="1"/>
        <v/>
      </c>
    </row>
    <row r="910" ht="15.75" customHeight="1">
      <c r="A910" s="99"/>
      <c r="B910" s="93"/>
      <c r="C910" s="93"/>
      <c r="D910" s="93"/>
      <c r="E910" s="94"/>
      <c r="F910" s="93"/>
      <c r="G910" s="93"/>
      <c r="H910" s="93"/>
      <c r="I910" s="43" t="str">
        <f>IF(AND(A910&gt;=Dashboard!$B$2,A910&lt;EDATE(Dashboard!$B$2,1),D910&lt;&gt;""),E910,"")</f>
        <v/>
      </c>
      <c r="J910" s="43" t="str">
        <f t="shared" si="1"/>
        <v/>
      </c>
    </row>
    <row r="911" ht="15.75" customHeight="1">
      <c r="A911" s="99"/>
      <c r="B911" s="93"/>
      <c r="C911" s="93"/>
      <c r="D911" s="93"/>
      <c r="E911" s="94"/>
      <c r="F911" s="93"/>
      <c r="G911" s="93"/>
      <c r="H911" s="93"/>
      <c r="I911" s="43" t="str">
        <f>IF(AND(A911&gt;=Dashboard!$B$2,A911&lt;EDATE(Dashboard!$B$2,1),D911&lt;&gt;""),E911,"")</f>
        <v/>
      </c>
      <c r="J911" s="43" t="str">
        <f t="shared" si="1"/>
        <v/>
      </c>
    </row>
    <row r="912" ht="15.75" customHeight="1">
      <c r="A912" s="99"/>
      <c r="B912" s="93"/>
      <c r="C912" s="93"/>
      <c r="D912" s="93"/>
      <c r="E912" s="94"/>
      <c r="F912" s="93"/>
      <c r="G912" s="93"/>
      <c r="H912" s="93"/>
      <c r="I912" s="43" t="str">
        <f>IF(AND(A912&gt;=Dashboard!$B$2,A912&lt;EDATE(Dashboard!$B$2,1),D912&lt;&gt;""),E912,"")</f>
        <v/>
      </c>
      <c r="J912" s="43" t="str">
        <f t="shared" si="1"/>
        <v/>
      </c>
    </row>
    <row r="913" ht="15.75" customHeight="1">
      <c r="A913" s="99"/>
      <c r="B913" s="93"/>
      <c r="C913" s="93"/>
      <c r="D913" s="93"/>
      <c r="E913" s="94"/>
      <c r="F913" s="93"/>
      <c r="G913" s="93"/>
      <c r="H913" s="93"/>
      <c r="I913" s="43" t="str">
        <f>IF(AND(A913&gt;=Dashboard!$B$2,A913&lt;EDATE(Dashboard!$B$2,1),D913&lt;&gt;""),E913,"")</f>
        <v/>
      </c>
      <c r="J913" s="43" t="str">
        <f t="shared" si="1"/>
        <v/>
      </c>
    </row>
    <row r="914" ht="15.75" customHeight="1">
      <c r="A914" s="99"/>
      <c r="B914" s="93"/>
      <c r="C914" s="93"/>
      <c r="D914" s="93"/>
      <c r="E914" s="94"/>
      <c r="F914" s="93"/>
      <c r="G914" s="93"/>
      <c r="H914" s="93"/>
      <c r="I914" s="43" t="str">
        <f>IF(AND(A914&gt;=Dashboard!$B$2,A914&lt;EDATE(Dashboard!$B$2,1),D914&lt;&gt;""),E914,"")</f>
        <v/>
      </c>
      <c r="J914" s="43" t="str">
        <f t="shared" si="1"/>
        <v/>
      </c>
    </row>
    <row r="915" ht="15.75" customHeight="1">
      <c r="A915" s="99"/>
      <c r="B915" s="93"/>
      <c r="C915" s="93"/>
      <c r="D915" s="93"/>
      <c r="E915" s="94"/>
      <c r="F915" s="93"/>
      <c r="G915" s="93"/>
      <c r="H915" s="93"/>
      <c r="I915" s="43" t="str">
        <f>IF(AND(A915&gt;=Dashboard!$B$2,A915&lt;EDATE(Dashboard!$B$2,1),D915&lt;&gt;""),E915,"")</f>
        <v/>
      </c>
      <c r="J915" s="43" t="str">
        <f t="shared" si="1"/>
        <v/>
      </c>
    </row>
    <row r="916" ht="15.75" customHeight="1">
      <c r="A916" s="99"/>
      <c r="B916" s="93"/>
      <c r="C916" s="93"/>
      <c r="D916" s="93"/>
      <c r="E916" s="94"/>
      <c r="F916" s="93"/>
      <c r="G916" s="93"/>
      <c r="H916" s="93"/>
      <c r="I916" s="43" t="str">
        <f>IF(AND(A916&gt;=Dashboard!$B$2,A916&lt;EDATE(Dashboard!$B$2,1),D916&lt;&gt;""),E916,"")</f>
        <v/>
      </c>
      <c r="J916" s="43" t="str">
        <f t="shared" si="1"/>
        <v/>
      </c>
    </row>
    <row r="917" ht="15.75" customHeight="1">
      <c r="A917" s="99"/>
      <c r="B917" s="93"/>
      <c r="C917" s="93"/>
      <c r="D917" s="93"/>
      <c r="E917" s="94"/>
      <c r="F917" s="93"/>
      <c r="G917" s="93"/>
      <c r="H917" s="93"/>
      <c r="I917" s="43" t="str">
        <f>IF(AND(A917&gt;=Dashboard!$B$2,A917&lt;EDATE(Dashboard!$B$2,1),D917&lt;&gt;""),E917,"")</f>
        <v/>
      </c>
      <c r="J917" s="43" t="str">
        <f t="shared" si="1"/>
        <v/>
      </c>
    </row>
    <row r="918" ht="15.75" customHeight="1">
      <c r="A918" s="99"/>
      <c r="B918" s="93"/>
      <c r="C918" s="93"/>
      <c r="D918" s="93"/>
      <c r="E918" s="94"/>
      <c r="F918" s="93"/>
      <c r="G918" s="93"/>
      <c r="H918" s="93"/>
      <c r="I918" s="43" t="str">
        <f>IF(AND(A918&gt;=Dashboard!$B$2,A918&lt;EDATE(Dashboard!$B$2,1),D918&lt;&gt;""),E918,"")</f>
        <v/>
      </c>
      <c r="J918" s="43" t="str">
        <f t="shared" si="1"/>
        <v/>
      </c>
    </row>
    <row r="919" ht="15.75" customHeight="1">
      <c r="A919" s="99"/>
      <c r="B919" s="93"/>
      <c r="C919" s="93"/>
      <c r="D919" s="93"/>
      <c r="E919" s="94"/>
      <c r="F919" s="93"/>
      <c r="G919" s="93"/>
      <c r="H919" s="93"/>
      <c r="I919" s="43" t="str">
        <f>IF(AND(A919&gt;=Dashboard!$B$2,A919&lt;EDATE(Dashboard!$B$2,1),D919&lt;&gt;""),E919,"")</f>
        <v/>
      </c>
      <c r="J919" s="43" t="str">
        <f t="shared" si="1"/>
        <v/>
      </c>
    </row>
    <row r="920" ht="15.75" customHeight="1">
      <c r="A920" s="99"/>
      <c r="B920" s="93"/>
      <c r="C920" s="93"/>
      <c r="D920" s="93"/>
      <c r="E920" s="94"/>
      <c r="F920" s="93"/>
      <c r="G920" s="93"/>
      <c r="H920" s="93"/>
      <c r="I920" s="43" t="str">
        <f>IF(AND(A920&gt;=Dashboard!$B$2,A920&lt;EDATE(Dashboard!$B$2,1),D920&lt;&gt;""),E920,"")</f>
        <v/>
      </c>
      <c r="J920" s="43" t="str">
        <f t="shared" si="1"/>
        <v/>
      </c>
    </row>
    <row r="921" ht="15.75" customHeight="1">
      <c r="A921" s="99"/>
      <c r="B921" s="93"/>
      <c r="C921" s="93"/>
      <c r="D921" s="93"/>
      <c r="E921" s="94"/>
      <c r="F921" s="93"/>
      <c r="G921" s="93"/>
      <c r="H921" s="93"/>
      <c r="I921" s="43" t="str">
        <f>IF(AND(A921&gt;=Dashboard!$B$2,A921&lt;EDATE(Dashboard!$B$2,1),D921&lt;&gt;""),E921,"")</f>
        <v/>
      </c>
      <c r="J921" s="43" t="str">
        <f t="shared" si="1"/>
        <v/>
      </c>
    </row>
    <row r="922" ht="15.75" customHeight="1">
      <c r="A922" s="99"/>
      <c r="B922" s="93"/>
      <c r="C922" s="93"/>
      <c r="D922" s="93"/>
      <c r="E922" s="94"/>
      <c r="F922" s="93"/>
      <c r="G922" s="93"/>
      <c r="H922" s="93"/>
      <c r="I922" s="43" t="str">
        <f>IF(AND(A922&gt;=Dashboard!$B$2,A922&lt;EDATE(Dashboard!$B$2,1),D922&lt;&gt;""),E922,"")</f>
        <v/>
      </c>
      <c r="J922" s="43" t="str">
        <f t="shared" si="1"/>
        <v/>
      </c>
    </row>
    <row r="923" ht="15.75" customHeight="1">
      <c r="A923" s="99"/>
      <c r="B923" s="93"/>
      <c r="C923" s="93"/>
      <c r="D923" s="93"/>
      <c r="E923" s="94"/>
      <c r="F923" s="93"/>
      <c r="G923" s="93"/>
      <c r="H923" s="93"/>
      <c r="I923" s="43" t="str">
        <f>IF(AND(A923&gt;=Dashboard!$B$2,A923&lt;EDATE(Dashboard!$B$2,1),D923&lt;&gt;""),E923,"")</f>
        <v/>
      </c>
      <c r="J923" s="43" t="str">
        <f t="shared" si="1"/>
        <v/>
      </c>
    </row>
    <row r="924" ht="15.75" customHeight="1">
      <c r="A924" s="99"/>
      <c r="B924" s="93"/>
      <c r="C924" s="93"/>
      <c r="D924" s="93"/>
      <c r="E924" s="94"/>
      <c r="F924" s="93"/>
      <c r="G924" s="93"/>
      <c r="H924" s="93"/>
      <c r="I924" s="43" t="str">
        <f>IF(AND(A924&gt;=Dashboard!$B$2,A924&lt;EDATE(Dashboard!$B$2,1),D924&lt;&gt;""),E924,"")</f>
        <v/>
      </c>
      <c r="J924" s="43" t="str">
        <f t="shared" si="1"/>
        <v/>
      </c>
    </row>
    <row r="925" ht="15.75" customHeight="1">
      <c r="A925" s="99"/>
      <c r="B925" s="93"/>
      <c r="C925" s="93"/>
      <c r="D925" s="93"/>
      <c r="E925" s="94"/>
      <c r="F925" s="93"/>
      <c r="G925" s="93"/>
      <c r="H925" s="93"/>
      <c r="I925" s="43" t="str">
        <f>IF(AND(A925&gt;=Dashboard!$B$2,A925&lt;EDATE(Dashboard!$B$2,1),D925&lt;&gt;""),E925,"")</f>
        <v/>
      </c>
      <c r="J925" s="43" t="str">
        <f t="shared" si="1"/>
        <v/>
      </c>
    </row>
    <row r="926" ht="15.75" customHeight="1">
      <c r="A926" s="99"/>
      <c r="B926" s="93"/>
      <c r="C926" s="93"/>
      <c r="D926" s="93"/>
      <c r="E926" s="94"/>
      <c r="F926" s="93"/>
      <c r="G926" s="93"/>
      <c r="H926" s="93"/>
      <c r="I926" s="43" t="str">
        <f>IF(AND(A926&gt;=Dashboard!$B$2,A926&lt;EDATE(Dashboard!$B$2,1),D926&lt;&gt;""),E926,"")</f>
        <v/>
      </c>
      <c r="J926" s="43" t="str">
        <f t="shared" si="1"/>
        <v/>
      </c>
    </row>
    <row r="927" ht="15.75" customHeight="1">
      <c r="A927" s="99"/>
      <c r="B927" s="93"/>
      <c r="C927" s="93"/>
      <c r="D927" s="93"/>
      <c r="E927" s="94"/>
      <c r="F927" s="93"/>
      <c r="G927" s="93"/>
      <c r="H927" s="93"/>
      <c r="I927" s="43" t="str">
        <f>IF(AND(A927&gt;=Dashboard!$B$2,A927&lt;EDATE(Dashboard!$B$2,1),D927&lt;&gt;""),E927,"")</f>
        <v/>
      </c>
      <c r="J927" s="43" t="str">
        <f t="shared" si="1"/>
        <v/>
      </c>
    </row>
    <row r="928" ht="15.75" customHeight="1">
      <c r="A928" s="99"/>
      <c r="B928" s="93"/>
      <c r="C928" s="93"/>
      <c r="D928" s="93"/>
      <c r="E928" s="94"/>
      <c r="F928" s="93"/>
      <c r="G928" s="93"/>
      <c r="H928" s="93"/>
      <c r="I928" s="43" t="str">
        <f>IF(AND(A928&gt;=Dashboard!$B$2,A928&lt;EDATE(Dashboard!$B$2,1),D928&lt;&gt;""),E928,"")</f>
        <v/>
      </c>
      <c r="J928" s="43" t="str">
        <f t="shared" si="1"/>
        <v/>
      </c>
    </row>
    <row r="929" ht="15.75" customHeight="1">
      <c r="A929" s="99"/>
      <c r="B929" s="93"/>
      <c r="C929" s="93"/>
      <c r="D929" s="93"/>
      <c r="E929" s="94"/>
      <c r="F929" s="93"/>
      <c r="G929" s="93"/>
      <c r="H929" s="93"/>
      <c r="I929" s="43" t="str">
        <f>IF(AND(A929&gt;=Dashboard!$B$2,A929&lt;EDATE(Dashboard!$B$2,1),D929&lt;&gt;""),E929,"")</f>
        <v/>
      </c>
      <c r="J929" s="43" t="str">
        <f t="shared" si="1"/>
        <v/>
      </c>
    </row>
    <row r="930" ht="15.75" customHeight="1">
      <c r="A930" s="99"/>
      <c r="B930" s="93"/>
      <c r="C930" s="93"/>
      <c r="D930" s="93"/>
      <c r="E930" s="94"/>
      <c r="F930" s="93"/>
      <c r="G930" s="93"/>
      <c r="H930" s="93"/>
      <c r="I930" s="43" t="str">
        <f>IF(AND(A930&gt;=Dashboard!$B$2,A930&lt;EDATE(Dashboard!$B$2,1),D930&lt;&gt;""),E930,"")</f>
        <v/>
      </c>
      <c r="J930" s="43" t="str">
        <f t="shared" si="1"/>
        <v/>
      </c>
    </row>
    <row r="931" ht="15.75" customHeight="1">
      <c r="A931" s="99"/>
      <c r="B931" s="93"/>
      <c r="C931" s="93"/>
      <c r="D931" s="93"/>
      <c r="E931" s="94"/>
      <c r="F931" s="93"/>
      <c r="G931" s="93"/>
      <c r="H931" s="93"/>
      <c r="I931" s="43" t="str">
        <f>IF(AND(A931&gt;=Dashboard!$B$2,A931&lt;EDATE(Dashboard!$B$2,1),D931&lt;&gt;""),E931,"")</f>
        <v/>
      </c>
      <c r="J931" s="43" t="str">
        <f t="shared" si="1"/>
        <v/>
      </c>
    </row>
    <row r="932" ht="15.75" customHeight="1">
      <c r="A932" s="99"/>
      <c r="B932" s="93"/>
      <c r="C932" s="93"/>
      <c r="D932" s="93"/>
      <c r="E932" s="94"/>
      <c r="F932" s="93"/>
      <c r="G932" s="93"/>
      <c r="H932" s="93"/>
      <c r="I932" s="43" t="str">
        <f>IF(AND(A932&gt;=Dashboard!$B$2,A932&lt;EDATE(Dashboard!$B$2,1),D932&lt;&gt;""),E932,"")</f>
        <v/>
      </c>
      <c r="J932" s="43" t="str">
        <f t="shared" si="1"/>
        <v/>
      </c>
    </row>
    <row r="933" ht="15.75" customHeight="1">
      <c r="A933" s="99"/>
      <c r="B933" s="93"/>
      <c r="C933" s="93"/>
      <c r="D933" s="93"/>
      <c r="E933" s="94"/>
      <c r="F933" s="93"/>
      <c r="G933" s="93"/>
      <c r="H933" s="93"/>
      <c r="I933" s="43" t="str">
        <f>IF(AND(A933&gt;=Dashboard!$B$2,A933&lt;EDATE(Dashboard!$B$2,1),D933&lt;&gt;""),E933,"")</f>
        <v/>
      </c>
      <c r="J933" s="43" t="str">
        <f t="shared" si="1"/>
        <v/>
      </c>
    </row>
    <row r="934" ht="15.75" customHeight="1">
      <c r="A934" s="99"/>
      <c r="B934" s="93"/>
      <c r="C934" s="93"/>
      <c r="D934" s="93"/>
      <c r="E934" s="94"/>
      <c r="F934" s="93"/>
      <c r="G934" s="93"/>
      <c r="H934" s="93"/>
      <c r="I934" s="43" t="str">
        <f>IF(AND(A934&gt;=Dashboard!$B$2,A934&lt;EDATE(Dashboard!$B$2,1),D934&lt;&gt;""),E934,"")</f>
        <v/>
      </c>
      <c r="J934" s="43" t="str">
        <f t="shared" si="1"/>
        <v/>
      </c>
    </row>
    <row r="935" ht="15.75" customHeight="1">
      <c r="A935" s="99"/>
      <c r="B935" s="93"/>
      <c r="C935" s="93"/>
      <c r="D935" s="93"/>
      <c r="E935" s="94"/>
      <c r="F935" s="93"/>
      <c r="G935" s="93"/>
      <c r="H935" s="93"/>
      <c r="I935" s="43" t="str">
        <f>IF(AND(A935&gt;=Dashboard!$B$2,A935&lt;EDATE(Dashboard!$B$2,1),D935&lt;&gt;""),E935,"")</f>
        <v/>
      </c>
      <c r="J935" s="43" t="str">
        <f t="shared" si="1"/>
        <v/>
      </c>
    </row>
    <row r="936" ht="15.75" customHeight="1">
      <c r="A936" s="99"/>
      <c r="B936" s="93"/>
      <c r="C936" s="93"/>
      <c r="D936" s="93"/>
      <c r="E936" s="94"/>
      <c r="F936" s="93"/>
      <c r="G936" s="93"/>
      <c r="H936" s="93"/>
      <c r="I936" s="43" t="str">
        <f>IF(AND(A936&gt;=Dashboard!$B$2,A936&lt;EDATE(Dashboard!$B$2,1),D936&lt;&gt;""),E936,"")</f>
        <v/>
      </c>
      <c r="J936" s="43" t="str">
        <f t="shared" si="1"/>
        <v/>
      </c>
    </row>
    <row r="937" ht="15.75" customHeight="1">
      <c r="A937" s="99"/>
      <c r="B937" s="93"/>
      <c r="C937" s="93"/>
      <c r="D937" s="93"/>
      <c r="E937" s="94"/>
      <c r="F937" s="93"/>
      <c r="G937" s="93"/>
      <c r="H937" s="93"/>
      <c r="I937" s="43" t="str">
        <f>IF(AND(A937&gt;=Dashboard!$B$2,A937&lt;EDATE(Dashboard!$B$2,1),D937&lt;&gt;""),E937,"")</f>
        <v/>
      </c>
      <c r="J937" s="43" t="str">
        <f t="shared" si="1"/>
        <v/>
      </c>
    </row>
    <row r="938" ht="15.75" customHeight="1">
      <c r="A938" s="99"/>
      <c r="B938" s="93"/>
      <c r="C938" s="93"/>
      <c r="D938" s="93"/>
      <c r="E938" s="94"/>
      <c r="F938" s="93"/>
      <c r="G938" s="93"/>
      <c r="H938" s="93"/>
      <c r="I938" s="43" t="str">
        <f>IF(AND(A938&gt;=Dashboard!$B$2,A938&lt;EDATE(Dashboard!$B$2,1),D938&lt;&gt;""),E938,"")</f>
        <v/>
      </c>
      <c r="J938" s="43" t="str">
        <f t="shared" si="1"/>
        <v/>
      </c>
    </row>
    <row r="939" ht="15.75" customHeight="1">
      <c r="A939" s="99"/>
      <c r="B939" s="93"/>
      <c r="C939" s="93"/>
      <c r="D939" s="93"/>
      <c r="E939" s="94"/>
      <c r="F939" s="93"/>
      <c r="G939" s="93"/>
      <c r="H939" s="93"/>
      <c r="I939" s="43" t="str">
        <f>IF(AND(A939&gt;=Dashboard!$B$2,A939&lt;EDATE(Dashboard!$B$2,1),D939&lt;&gt;""),E939,"")</f>
        <v/>
      </c>
      <c r="J939" s="43" t="str">
        <f t="shared" si="1"/>
        <v/>
      </c>
    </row>
    <row r="940" ht="15.75" customHeight="1">
      <c r="A940" s="99"/>
      <c r="B940" s="93"/>
      <c r="C940" s="93"/>
      <c r="D940" s="93"/>
      <c r="E940" s="94"/>
      <c r="F940" s="93"/>
      <c r="G940" s="93"/>
      <c r="H940" s="93"/>
      <c r="I940" s="43" t="str">
        <f>IF(AND(A940&gt;=Dashboard!$B$2,A940&lt;EDATE(Dashboard!$B$2,1),D940&lt;&gt;""),E940,"")</f>
        <v/>
      </c>
      <c r="J940" s="43" t="str">
        <f t="shared" si="1"/>
        <v/>
      </c>
    </row>
    <row r="941" ht="15.75" customHeight="1">
      <c r="A941" s="99"/>
      <c r="B941" s="93"/>
      <c r="C941" s="93"/>
      <c r="D941" s="93"/>
      <c r="E941" s="94"/>
      <c r="F941" s="93"/>
      <c r="G941" s="93"/>
      <c r="H941" s="93"/>
      <c r="I941" s="43" t="str">
        <f>IF(AND(A941&gt;=Dashboard!$B$2,A941&lt;EDATE(Dashboard!$B$2,1),D941&lt;&gt;""),E941,"")</f>
        <v/>
      </c>
      <c r="J941" s="43" t="str">
        <f t="shared" si="1"/>
        <v/>
      </c>
    </row>
    <row r="942" ht="15.75" customHeight="1">
      <c r="A942" s="99"/>
      <c r="B942" s="93"/>
      <c r="C942" s="93"/>
      <c r="D942" s="93"/>
      <c r="E942" s="94"/>
      <c r="F942" s="93"/>
      <c r="G942" s="93"/>
      <c r="H942" s="93"/>
      <c r="I942" s="43" t="str">
        <f>IF(AND(A942&gt;=Dashboard!$B$2,A942&lt;EDATE(Dashboard!$B$2,1),D942&lt;&gt;""),E942,"")</f>
        <v/>
      </c>
      <c r="J942" s="43" t="str">
        <f t="shared" si="1"/>
        <v/>
      </c>
    </row>
    <row r="943" ht="15.75" customHeight="1">
      <c r="A943" s="99"/>
      <c r="B943" s="93"/>
      <c r="C943" s="93"/>
      <c r="D943" s="93"/>
      <c r="E943" s="94"/>
      <c r="F943" s="93"/>
      <c r="G943" s="93"/>
      <c r="H943" s="93"/>
      <c r="I943" s="43" t="str">
        <f>IF(AND(A943&gt;=Dashboard!$B$2,A943&lt;EDATE(Dashboard!$B$2,1),D943&lt;&gt;""),E943,"")</f>
        <v/>
      </c>
      <c r="J943" s="43" t="str">
        <f t="shared" si="1"/>
        <v/>
      </c>
    </row>
    <row r="944" ht="15.75" customHeight="1">
      <c r="A944" s="99"/>
      <c r="B944" s="93"/>
      <c r="C944" s="93"/>
      <c r="D944" s="93"/>
      <c r="E944" s="94"/>
      <c r="F944" s="93"/>
      <c r="G944" s="93"/>
      <c r="H944" s="93"/>
      <c r="I944" s="43" t="str">
        <f>IF(AND(A944&gt;=Dashboard!$B$2,A944&lt;EDATE(Dashboard!$B$2,1),D944&lt;&gt;""),E944,"")</f>
        <v/>
      </c>
      <c r="J944" s="43" t="str">
        <f t="shared" si="1"/>
        <v/>
      </c>
    </row>
    <row r="945" ht="15.75" customHeight="1">
      <c r="A945" s="99"/>
      <c r="B945" s="93"/>
      <c r="C945" s="93"/>
      <c r="D945" s="93"/>
      <c r="E945" s="94"/>
      <c r="F945" s="93"/>
      <c r="G945" s="93"/>
      <c r="H945" s="93"/>
      <c r="I945" s="43" t="str">
        <f>IF(AND(A945&gt;=Dashboard!$B$2,A945&lt;EDATE(Dashboard!$B$2,1),D945&lt;&gt;""),E945,"")</f>
        <v/>
      </c>
      <c r="J945" s="43" t="str">
        <f t="shared" si="1"/>
        <v/>
      </c>
    </row>
    <row r="946" ht="15.75" customHeight="1">
      <c r="A946" s="99"/>
      <c r="B946" s="93"/>
      <c r="C946" s="93"/>
      <c r="D946" s="93"/>
      <c r="E946" s="94"/>
      <c r="F946" s="93"/>
      <c r="G946" s="93"/>
      <c r="H946" s="93"/>
      <c r="I946" s="43" t="str">
        <f>IF(AND(A946&gt;=Dashboard!$B$2,A946&lt;EDATE(Dashboard!$B$2,1),D946&lt;&gt;""),E946,"")</f>
        <v/>
      </c>
      <c r="J946" s="43" t="str">
        <f t="shared" si="1"/>
        <v/>
      </c>
    </row>
    <row r="947" ht="15.75" customHeight="1">
      <c r="A947" s="99"/>
      <c r="B947" s="93"/>
      <c r="C947" s="93"/>
      <c r="D947" s="93"/>
      <c r="E947" s="94"/>
      <c r="F947" s="93"/>
      <c r="G947" s="93"/>
      <c r="H947" s="93"/>
      <c r="I947" s="43" t="str">
        <f>IF(AND(A947&gt;=Dashboard!$B$2,A947&lt;EDATE(Dashboard!$B$2,1),D947&lt;&gt;""),E947,"")</f>
        <v/>
      </c>
      <c r="J947" s="43" t="str">
        <f t="shared" si="1"/>
        <v/>
      </c>
    </row>
    <row r="948" ht="15.75" customHeight="1">
      <c r="A948" s="99"/>
      <c r="B948" s="93"/>
      <c r="C948" s="93"/>
      <c r="D948" s="93"/>
      <c r="E948" s="94"/>
      <c r="F948" s="93"/>
      <c r="G948" s="93"/>
      <c r="H948" s="93"/>
      <c r="I948" s="43" t="str">
        <f>IF(AND(A948&gt;=Dashboard!$B$2,A948&lt;EDATE(Dashboard!$B$2,1),D948&lt;&gt;""),E948,"")</f>
        <v/>
      </c>
      <c r="J948" s="43" t="str">
        <f t="shared" si="1"/>
        <v/>
      </c>
    </row>
    <row r="949" ht="15.75" customHeight="1">
      <c r="A949" s="99"/>
      <c r="B949" s="93"/>
      <c r="C949" s="93"/>
      <c r="D949" s="93"/>
      <c r="E949" s="94"/>
      <c r="F949" s="93"/>
      <c r="G949" s="93"/>
      <c r="H949" s="93"/>
      <c r="I949" s="43" t="str">
        <f>IF(AND(A949&gt;=Dashboard!$B$2,A949&lt;EDATE(Dashboard!$B$2,1),D949&lt;&gt;""),E949,"")</f>
        <v/>
      </c>
      <c r="J949" s="43" t="str">
        <f t="shared" si="1"/>
        <v/>
      </c>
    </row>
    <row r="950" ht="15.75" customHeight="1">
      <c r="A950" s="99"/>
      <c r="B950" s="93"/>
      <c r="C950" s="93"/>
      <c r="D950" s="93"/>
      <c r="E950" s="94"/>
      <c r="F950" s="93"/>
      <c r="G950" s="93"/>
      <c r="H950" s="93"/>
      <c r="I950" s="43" t="str">
        <f>IF(AND(A950&gt;=Dashboard!$B$2,A950&lt;EDATE(Dashboard!$B$2,1),D950&lt;&gt;""),E950,"")</f>
        <v/>
      </c>
      <c r="J950" s="43" t="str">
        <f t="shared" si="1"/>
        <v/>
      </c>
    </row>
    <row r="951" ht="15.75" customHeight="1">
      <c r="A951" s="99"/>
      <c r="B951" s="93"/>
      <c r="C951" s="93"/>
      <c r="D951" s="93"/>
      <c r="E951" s="94"/>
      <c r="F951" s="93"/>
      <c r="G951" s="93"/>
      <c r="H951" s="93"/>
      <c r="I951" s="43" t="str">
        <f>IF(AND(A951&gt;=Dashboard!$B$2,A951&lt;EDATE(Dashboard!$B$2,1),D951&lt;&gt;""),E951,"")</f>
        <v/>
      </c>
      <c r="J951" s="43" t="str">
        <f t="shared" si="1"/>
        <v/>
      </c>
    </row>
    <row r="952" ht="15.75" customHeight="1">
      <c r="A952" s="99"/>
      <c r="B952" s="93"/>
      <c r="C952" s="93"/>
      <c r="D952" s="93"/>
      <c r="E952" s="94"/>
      <c r="F952" s="93"/>
      <c r="G952" s="93"/>
      <c r="H952" s="93"/>
      <c r="I952" s="43" t="str">
        <f>IF(AND(A952&gt;=Dashboard!$B$2,A952&lt;EDATE(Dashboard!$B$2,1),D952&lt;&gt;""),E952,"")</f>
        <v/>
      </c>
      <c r="J952" s="43" t="str">
        <f t="shared" si="1"/>
        <v/>
      </c>
    </row>
    <row r="953" ht="15.75" customHeight="1">
      <c r="A953" s="99"/>
      <c r="B953" s="93"/>
      <c r="C953" s="93"/>
      <c r="D953" s="93"/>
      <c r="E953" s="94"/>
      <c r="F953" s="93"/>
      <c r="G953" s="93"/>
      <c r="H953" s="93"/>
      <c r="I953" s="43" t="str">
        <f>IF(AND(A953&gt;=Dashboard!$B$2,A953&lt;EDATE(Dashboard!$B$2,1),D953&lt;&gt;""),E953,"")</f>
        <v/>
      </c>
      <c r="J953" s="43" t="str">
        <f t="shared" si="1"/>
        <v/>
      </c>
    </row>
    <row r="954" ht="15.75" customHeight="1">
      <c r="A954" s="99"/>
      <c r="B954" s="93"/>
      <c r="C954" s="93"/>
      <c r="D954" s="93"/>
      <c r="E954" s="94"/>
      <c r="F954" s="93"/>
      <c r="G954" s="93"/>
      <c r="H954" s="93"/>
      <c r="I954" s="43" t="str">
        <f>IF(AND(A954&gt;=Dashboard!$B$2,A954&lt;EDATE(Dashboard!$B$2,1),D954&lt;&gt;""),E954,"")</f>
        <v/>
      </c>
      <c r="J954" s="43" t="str">
        <f t="shared" si="1"/>
        <v/>
      </c>
    </row>
    <row r="955" ht="15.75" customHeight="1">
      <c r="A955" s="99"/>
      <c r="B955" s="93"/>
      <c r="C955" s="93"/>
      <c r="D955" s="93"/>
      <c r="E955" s="94"/>
      <c r="F955" s="93"/>
      <c r="G955" s="93"/>
      <c r="H955" s="93"/>
      <c r="I955" s="43" t="str">
        <f>IF(AND(A955&gt;=Dashboard!$B$2,A955&lt;EDATE(Dashboard!$B$2,1),D955&lt;&gt;""),E955,"")</f>
        <v/>
      </c>
      <c r="J955" s="43" t="str">
        <f t="shared" si="1"/>
        <v/>
      </c>
    </row>
    <row r="956" ht="15.75" customHeight="1">
      <c r="A956" s="99"/>
      <c r="B956" s="93"/>
      <c r="C956" s="93"/>
      <c r="D956" s="93"/>
      <c r="E956" s="94"/>
      <c r="F956" s="93"/>
      <c r="G956" s="93"/>
      <c r="H956" s="93"/>
      <c r="I956" s="43" t="str">
        <f>IF(AND(A956&gt;=Dashboard!$B$2,A956&lt;EDATE(Dashboard!$B$2,1),D956&lt;&gt;""),E956,"")</f>
        <v/>
      </c>
      <c r="J956" s="43" t="str">
        <f t="shared" si="1"/>
        <v/>
      </c>
    </row>
    <row r="957" ht="15.75" customHeight="1">
      <c r="A957" s="99"/>
      <c r="B957" s="93"/>
      <c r="C957" s="93"/>
      <c r="D957" s="93"/>
      <c r="E957" s="94"/>
      <c r="F957" s="93"/>
      <c r="G957" s="93"/>
      <c r="H957" s="93"/>
      <c r="I957" s="43" t="str">
        <f>IF(AND(A957&gt;=Dashboard!$B$2,A957&lt;EDATE(Dashboard!$B$2,1),D957&lt;&gt;""),E957,"")</f>
        <v/>
      </c>
      <c r="J957" s="43" t="str">
        <f t="shared" si="1"/>
        <v/>
      </c>
    </row>
    <row r="958" ht="15.75" customHeight="1">
      <c r="A958" s="99"/>
      <c r="B958" s="93"/>
      <c r="C958" s="93"/>
      <c r="D958" s="93"/>
      <c r="E958" s="94"/>
      <c r="F958" s="93"/>
      <c r="G958" s="93"/>
      <c r="H958" s="93"/>
      <c r="I958" s="43" t="str">
        <f>IF(AND(A958&gt;=Dashboard!$B$2,A958&lt;EDATE(Dashboard!$B$2,1),D958&lt;&gt;""),E958,"")</f>
        <v/>
      </c>
      <c r="J958" s="43" t="str">
        <f t="shared" si="1"/>
        <v/>
      </c>
    </row>
    <row r="959" ht="15.75" customHeight="1">
      <c r="A959" s="99"/>
      <c r="B959" s="93"/>
      <c r="C959" s="93"/>
      <c r="D959" s="93"/>
      <c r="E959" s="94"/>
      <c r="F959" s="93"/>
      <c r="G959" s="93"/>
      <c r="H959" s="93"/>
      <c r="I959" s="43" t="str">
        <f>IF(AND(A959&gt;=Dashboard!$B$2,A959&lt;EDATE(Dashboard!$B$2,1),D959&lt;&gt;""),E959,"")</f>
        <v/>
      </c>
      <c r="J959" s="43" t="str">
        <f t="shared" si="1"/>
        <v/>
      </c>
    </row>
    <row r="960" ht="15.75" customHeight="1">
      <c r="A960" s="99"/>
      <c r="B960" s="93"/>
      <c r="C960" s="93"/>
      <c r="D960" s="93"/>
      <c r="E960" s="94"/>
      <c r="F960" s="93"/>
      <c r="G960" s="93"/>
      <c r="H960" s="93"/>
      <c r="I960" s="43" t="str">
        <f>IF(AND(A960&gt;=Dashboard!$B$2,A960&lt;EDATE(Dashboard!$B$2,1),D960&lt;&gt;""),E960,"")</f>
        <v/>
      </c>
      <c r="J960" s="43" t="str">
        <f t="shared" si="1"/>
        <v/>
      </c>
    </row>
    <row r="961" ht="15.75" customHeight="1">
      <c r="A961" s="99"/>
      <c r="B961" s="93"/>
      <c r="C961" s="93"/>
      <c r="D961" s="93"/>
      <c r="E961" s="94"/>
      <c r="F961" s="93"/>
      <c r="G961" s="93"/>
      <c r="H961" s="93"/>
      <c r="I961" s="43" t="str">
        <f>IF(AND(A961&gt;=Dashboard!$B$2,A961&lt;EDATE(Dashboard!$B$2,1),D961&lt;&gt;""),E961,"")</f>
        <v/>
      </c>
      <c r="J961" s="43" t="str">
        <f t="shared" si="1"/>
        <v/>
      </c>
    </row>
    <row r="962" ht="15.75" customHeight="1">
      <c r="A962" s="99"/>
      <c r="B962" s="93"/>
      <c r="C962" s="93"/>
      <c r="D962" s="93"/>
      <c r="E962" s="94"/>
      <c r="F962" s="93"/>
      <c r="G962" s="93"/>
      <c r="H962" s="93"/>
      <c r="I962" s="43" t="str">
        <f>IF(AND(A962&gt;=Dashboard!$B$2,A962&lt;EDATE(Dashboard!$B$2,1),D962&lt;&gt;""),E962,"")</f>
        <v/>
      </c>
      <c r="J962" s="43" t="str">
        <f t="shared" si="1"/>
        <v/>
      </c>
    </row>
    <row r="963" ht="15.75" customHeight="1">
      <c r="A963" s="99"/>
      <c r="B963" s="93"/>
      <c r="C963" s="93"/>
      <c r="D963" s="93"/>
      <c r="E963" s="94"/>
      <c r="F963" s="93"/>
      <c r="G963" s="93"/>
      <c r="H963" s="93"/>
      <c r="I963" s="43" t="str">
        <f>IF(AND(A963&gt;=Dashboard!$B$2,A963&lt;EDATE(Dashboard!$B$2,1),D963&lt;&gt;""),E963,"")</f>
        <v/>
      </c>
      <c r="J963" s="43" t="str">
        <f t="shared" si="1"/>
        <v/>
      </c>
    </row>
    <row r="964" ht="15.75" customHeight="1">
      <c r="A964" s="99"/>
      <c r="B964" s="93"/>
      <c r="C964" s="93"/>
      <c r="D964" s="93"/>
      <c r="E964" s="94"/>
      <c r="F964" s="93"/>
      <c r="G964" s="93"/>
      <c r="H964" s="93"/>
      <c r="I964" s="43" t="str">
        <f>IF(AND(A964&gt;=Dashboard!$B$2,A964&lt;EDATE(Dashboard!$B$2,1),D964&lt;&gt;""),E964,"")</f>
        <v/>
      </c>
      <c r="J964" s="43" t="str">
        <f t="shared" si="1"/>
        <v/>
      </c>
    </row>
    <row r="965" ht="15.75" customHeight="1">
      <c r="A965" s="99"/>
      <c r="B965" s="93"/>
      <c r="C965" s="93"/>
      <c r="D965" s="93"/>
      <c r="E965" s="94"/>
      <c r="F965" s="93"/>
      <c r="G965" s="93"/>
      <c r="H965" s="93"/>
      <c r="I965" s="43" t="str">
        <f>IF(AND(A965&gt;=Dashboard!$B$2,A965&lt;EDATE(Dashboard!$B$2,1),D965&lt;&gt;""),E965,"")</f>
        <v/>
      </c>
      <c r="J965" s="43" t="str">
        <f t="shared" si="1"/>
        <v/>
      </c>
    </row>
    <row r="966" ht="15.75" customHeight="1">
      <c r="A966" s="99"/>
      <c r="B966" s="93"/>
      <c r="C966" s="93"/>
      <c r="D966" s="93"/>
      <c r="E966" s="94"/>
      <c r="F966" s="93"/>
      <c r="G966" s="93"/>
      <c r="H966" s="93"/>
      <c r="I966" s="43" t="str">
        <f>IF(AND(A966&gt;=Dashboard!$B$2,A966&lt;EDATE(Dashboard!$B$2,1),D966&lt;&gt;""),E966,"")</f>
        <v/>
      </c>
      <c r="J966" s="43" t="str">
        <f t="shared" si="1"/>
        <v/>
      </c>
    </row>
    <row r="967" ht="15.75" customHeight="1">
      <c r="A967" s="99"/>
      <c r="B967" s="93"/>
      <c r="C967" s="93"/>
      <c r="D967" s="93"/>
      <c r="E967" s="94"/>
      <c r="F967" s="93"/>
      <c r="G967" s="93"/>
      <c r="H967" s="93"/>
      <c r="I967" s="43" t="str">
        <f>IF(AND(A967&gt;=Dashboard!$B$2,A967&lt;EDATE(Dashboard!$B$2,1),D967&lt;&gt;""),E967,"")</f>
        <v/>
      </c>
      <c r="J967" s="43" t="str">
        <f t="shared" si="1"/>
        <v/>
      </c>
    </row>
    <row r="968" ht="15.75" customHeight="1">
      <c r="A968" s="99"/>
      <c r="B968" s="93"/>
      <c r="C968" s="93"/>
      <c r="D968" s="93"/>
      <c r="E968" s="94"/>
      <c r="F968" s="93"/>
      <c r="G968" s="93"/>
      <c r="H968" s="93"/>
      <c r="I968" s="43" t="str">
        <f>IF(AND(A968&gt;=Dashboard!$B$2,A968&lt;EDATE(Dashboard!$B$2,1),D968&lt;&gt;""),E968,"")</f>
        <v/>
      </c>
      <c r="J968" s="43" t="str">
        <f t="shared" si="1"/>
        <v/>
      </c>
    </row>
    <row r="969" ht="15.75" customHeight="1">
      <c r="A969" s="99"/>
      <c r="B969" s="93"/>
      <c r="C969" s="93"/>
      <c r="D969" s="93"/>
      <c r="E969" s="94"/>
      <c r="F969" s="93"/>
      <c r="G969" s="93"/>
      <c r="H969" s="93"/>
      <c r="I969" s="43" t="str">
        <f>IF(AND(A969&gt;=Dashboard!$B$2,A969&lt;EDATE(Dashboard!$B$2,1),D969&lt;&gt;""),E969,"")</f>
        <v/>
      </c>
      <c r="J969" s="43" t="str">
        <f t="shared" si="1"/>
        <v/>
      </c>
    </row>
    <row r="970" ht="15.75" customHeight="1">
      <c r="A970" s="99"/>
      <c r="B970" s="93"/>
      <c r="C970" s="93"/>
      <c r="D970" s="93"/>
      <c r="E970" s="94"/>
      <c r="F970" s="93"/>
      <c r="G970" s="93"/>
      <c r="H970" s="93"/>
      <c r="I970" s="43" t="str">
        <f>IF(AND(A970&gt;=Dashboard!$B$2,A970&lt;EDATE(Dashboard!$B$2,1),D970&lt;&gt;""),E970,"")</f>
        <v/>
      </c>
      <c r="J970" s="43" t="str">
        <f t="shared" si="1"/>
        <v/>
      </c>
    </row>
    <row r="971" ht="15.75" customHeight="1">
      <c r="A971" s="99"/>
      <c r="B971" s="93"/>
      <c r="C971" s="93"/>
      <c r="D971" s="93"/>
      <c r="E971" s="94"/>
      <c r="F971" s="93"/>
      <c r="G971" s="93"/>
      <c r="H971" s="93"/>
      <c r="I971" s="43" t="str">
        <f>IF(AND(A971&gt;=Dashboard!$B$2,A971&lt;EDATE(Dashboard!$B$2,1),D971&lt;&gt;""),E971,"")</f>
        <v/>
      </c>
      <c r="J971" s="43" t="str">
        <f t="shared" si="1"/>
        <v/>
      </c>
    </row>
    <row r="972" ht="15.75" customHeight="1">
      <c r="A972" s="99"/>
      <c r="B972" s="93"/>
      <c r="C972" s="93"/>
      <c r="D972" s="93"/>
      <c r="E972" s="94"/>
      <c r="F972" s="93"/>
      <c r="G972" s="93"/>
      <c r="H972" s="93"/>
      <c r="I972" s="43" t="str">
        <f>IF(AND(A972&gt;=Dashboard!$B$2,A972&lt;EDATE(Dashboard!$B$2,1),D972&lt;&gt;""),E972,"")</f>
        <v/>
      </c>
      <c r="J972" s="43" t="str">
        <f t="shared" si="1"/>
        <v/>
      </c>
    </row>
    <row r="973" ht="15.75" customHeight="1">
      <c r="A973" s="99"/>
      <c r="B973" s="93"/>
      <c r="C973" s="93"/>
      <c r="D973" s="93"/>
      <c r="E973" s="94"/>
      <c r="F973" s="93"/>
      <c r="G973" s="93"/>
      <c r="H973" s="93"/>
      <c r="I973" s="43" t="str">
        <f>IF(AND(A973&gt;=Dashboard!$B$2,A973&lt;EDATE(Dashboard!$B$2,1),D973&lt;&gt;""),E973,"")</f>
        <v/>
      </c>
      <c r="J973" s="43" t="str">
        <f t="shared" si="1"/>
        <v/>
      </c>
    </row>
    <row r="974" ht="15.75" customHeight="1">
      <c r="A974" s="99"/>
      <c r="B974" s="93"/>
      <c r="C974" s="93"/>
      <c r="D974" s="93"/>
      <c r="E974" s="94"/>
      <c r="F974" s="93"/>
      <c r="G974" s="93"/>
      <c r="H974" s="93"/>
      <c r="I974" s="43" t="str">
        <f>IF(AND(A974&gt;=Dashboard!$B$2,A974&lt;EDATE(Dashboard!$B$2,1),D974&lt;&gt;""),E974,"")</f>
        <v/>
      </c>
      <c r="J974" s="43" t="str">
        <f t="shared" si="1"/>
        <v/>
      </c>
    </row>
    <row r="975" ht="15.75" customHeight="1">
      <c r="A975" s="99"/>
      <c r="B975" s="93"/>
      <c r="C975" s="93"/>
      <c r="D975" s="93"/>
      <c r="E975" s="94"/>
      <c r="F975" s="93"/>
      <c r="G975" s="93"/>
      <c r="H975" s="93"/>
      <c r="I975" s="43" t="str">
        <f>IF(AND(A975&gt;=Dashboard!$B$2,A975&lt;EDATE(Dashboard!$B$2,1),D975&lt;&gt;""),E975,"")</f>
        <v/>
      </c>
      <c r="J975" s="43" t="str">
        <f t="shared" si="1"/>
        <v/>
      </c>
    </row>
    <row r="976" ht="15.75" customHeight="1">
      <c r="A976" s="99"/>
      <c r="B976" s="93"/>
      <c r="C976" s="93"/>
      <c r="D976" s="93"/>
      <c r="E976" s="94"/>
      <c r="F976" s="93"/>
      <c r="G976" s="93"/>
      <c r="H976" s="93"/>
      <c r="I976" s="43" t="str">
        <f>IF(AND(A976&gt;=Dashboard!$B$2,A976&lt;EDATE(Dashboard!$B$2,1),D976&lt;&gt;""),E976,"")</f>
        <v/>
      </c>
      <c r="J976" s="43" t="str">
        <f t="shared" si="1"/>
        <v/>
      </c>
    </row>
    <row r="977" ht="15.75" customHeight="1">
      <c r="A977" s="99"/>
      <c r="B977" s="93"/>
      <c r="C977" s="93"/>
      <c r="D977" s="93"/>
      <c r="E977" s="94"/>
      <c r="F977" s="93"/>
      <c r="G977" s="93"/>
      <c r="H977" s="93"/>
      <c r="I977" s="43" t="str">
        <f>IF(AND(A977&gt;=Dashboard!$B$2,A977&lt;EDATE(Dashboard!$B$2,1),D977&lt;&gt;""),E977,"")</f>
        <v/>
      </c>
      <c r="J977" s="43" t="str">
        <f t="shared" si="1"/>
        <v/>
      </c>
    </row>
    <row r="978" ht="15.75" customHeight="1">
      <c r="A978" s="99"/>
      <c r="B978" s="93"/>
      <c r="C978" s="93"/>
      <c r="D978" s="93"/>
      <c r="E978" s="94"/>
      <c r="F978" s="93"/>
      <c r="G978" s="93"/>
      <c r="H978" s="93"/>
      <c r="I978" s="43" t="str">
        <f>IF(AND(A978&gt;=Dashboard!$B$2,A978&lt;EDATE(Dashboard!$B$2,1),D978&lt;&gt;""),E978,"")</f>
        <v/>
      </c>
      <c r="J978" s="43" t="str">
        <f t="shared" si="1"/>
        <v/>
      </c>
    </row>
    <row r="979" ht="15.75" customHeight="1">
      <c r="A979" s="99"/>
      <c r="B979" s="93"/>
      <c r="C979" s="93"/>
      <c r="D979" s="93"/>
      <c r="E979" s="94"/>
      <c r="F979" s="93"/>
      <c r="G979" s="93"/>
      <c r="H979" s="93"/>
      <c r="I979" s="43" t="str">
        <f>IF(AND(A979&gt;=Dashboard!$B$2,A979&lt;EDATE(Dashboard!$B$2,1),D979&lt;&gt;""),E979,"")</f>
        <v/>
      </c>
      <c r="J979" s="43" t="str">
        <f t="shared" si="1"/>
        <v/>
      </c>
    </row>
    <row r="980" ht="15.75" customHeight="1">
      <c r="A980" s="99"/>
      <c r="B980" s="93"/>
      <c r="C980" s="93"/>
      <c r="D980" s="93"/>
      <c r="E980" s="94"/>
      <c r="F980" s="93"/>
      <c r="G980" s="93"/>
      <c r="H980" s="93"/>
      <c r="I980" s="43" t="str">
        <f>IF(AND(A980&gt;=Dashboard!$B$2,A980&lt;EDATE(Dashboard!$B$2,1),D980&lt;&gt;""),E980,"")</f>
        <v/>
      </c>
      <c r="J980" s="43" t="str">
        <f t="shared" si="1"/>
        <v/>
      </c>
    </row>
    <row r="981" ht="15.75" customHeight="1">
      <c r="A981" s="99"/>
      <c r="B981" s="93"/>
      <c r="C981" s="93"/>
      <c r="D981" s="93"/>
      <c r="E981" s="94"/>
      <c r="F981" s="93"/>
      <c r="G981" s="93"/>
      <c r="H981" s="93"/>
      <c r="I981" s="43" t="str">
        <f>IF(AND(A981&gt;=Dashboard!$B$2,A981&lt;EDATE(Dashboard!$B$2,1),D981&lt;&gt;""),E981,"")</f>
        <v/>
      </c>
      <c r="J981" s="43" t="str">
        <f t="shared" si="1"/>
        <v/>
      </c>
    </row>
    <row r="982" ht="15.75" customHeight="1">
      <c r="A982" s="99"/>
      <c r="B982" s="93"/>
      <c r="C982" s="93"/>
      <c r="D982" s="93"/>
      <c r="E982" s="94"/>
      <c r="F982" s="93"/>
      <c r="G982" s="93"/>
      <c r="H982" s="93"/>
      <c r="I982" s="43" t="str">
        <f>IF(AND(A982&gt;=Dashboard!$B$2,A982&lt;EDATE(Dashboard!$B$2,1),D982&lt;&gt;""),E982,"")</f>
        <v/>
      </c>
      <c r="J982" s="43" t="str">
        <f t="shared" si="1"/>
        <v/>
      </c>
    </row>
    <row r="983" ht="15.75" customHeight="1">
      <c r="A983" s="99"/>
      <c r="B983" s="93"/>
      <c r="C983" s="93"/>
      <c r="D983" s="93"/>
      <c r="E983" s="94"/>
      <c r="F983" s="93"/>
      <c r="G983" s="93"/>
      <c r="H983" s="93"/>
      <c r="I983" s="43" t="str">
        <f>IF(AND(A983&gt;=Dashboard!$B$2,A983&lt;EDATE(Dashboard!$B$2,1),D983&lt;&gt;""),E983,"")</f>
        <v/>
      </c>
      <c r="J983" s="43" t="str">
        <f t="shared" si="1"/>
        <v/>
      </c>
    </row>
    <row r="984" ht="15.75" customHeight="1">
      <c r="A984" s="99"/>
      <c r="B984" s="93"/>
      <c r="C984" s="93"/>
      <c r="D984" s="93"/>
      <c r="E984" s="94"/>
      <c r="F984" s="93"/>
      <c r="G984" s="93"/>
      <c r="H984" s="93"/>
      <c r="I984" s="43" t="str">
        <f>IF(AND(A984&gt;=Dashboard!$B$2,A984&lt;EDATE(Dashboard!$B$2,1),D984&lt;&gt;""),E984,"")</f>
        <v/>
      </c>
      <c r="J984" s="43" t="str">
        <f t="shared" si="1"/>
        <v/>
      </c>
    </row>
    <row r="985" ht="15.75" customHeight="1">
      <c r="A985" s="99"/>
      <c r="B985" s="93"/>
      <c r="C985" s="93"/>
      <c r="D985" s="93"/>
      <c r="E985" s="94"/>
      <c r="F985" s="93"/>
      <c r="G985" s="93"/>
      <c r="H985" s="93"/>
      <c r="I985" s="43" t="str">
        <f>IF(AND(A985&gt;=Dashboard!$B$2,A985&lt;EDATE(Dashboard!$B$2,1),D985&lt;&gt;""),E985,"")</f>
        <v/>
      </c>
      <c r="J985" s="43" t="str">
        <f t="shared" si="1"/>
        <v/>
      </c>
    </row>
    <row r="986" ht="15.75" customHeight="1">
      <c r="A986" s="99"/>
      <c r="B986" s="93"/>
      <c r="C986" s="93"/>
      <c r="D986" s="93"/>
      <c r="E986" s="94"/>
      <c r="F986" s="93"/>
      <c r="G986" s="93"/>
      <c r="H986" s="93"/>
      <c r="I986" s="43" t="str">
        <f>IF(AND(A986&gt;=Dashboard!$B$2,A986&lt;EDATE(Dashboard!$B$2,1),D986&lt;&gt;""),E986,"")</f>
        <v/>
      </c>
      <c r="J986" s="43" t="str">
        <f t="shared" si="1"/>
        <v/>
      </c>
    </row>
    <row r="987" ht="15.75" customHeight="1">
      <c r="A987" s="99"/>
      <c r="B987" s="93"/>
      <c r="C987" s="93"/>
      <c r="D987" s="93"/>
      <c r="E987" s="94"/>
      <c r="F987" s="93"/>
      <c r="G987" s="93"/>
      <c r="H987" s="93"/>
      <c r="I987" s="43" t="str">
        <f>IF(AND(A987&gt;=Dashboard!$B$2,A987&lt;EDATE(Dashboard!$B$2,1),D987&lt;&gt;""),E987,"")</f>
        <v/>
      </c>
      <c r="J987" s="43" t="str">
        <f t="shared" si="1"/>
        <v/>
      </c>
    </row>
    <row r="988" ht="15.75" customHeight="1">
      <c r="A988" s="99"/>
      <c r="B988" s="93"/>
      <c r="C988" s="93"/>
      <c r="D988" s="93"/>
      <c r="E988" s="94"/>
      <c r="F988" s="93"/>
      <c r="G988" s="93"/>
      <c r="H988" s="93"/>
      <c r="I988" s="43" t="str">
        <f>IF(AND(A988&gt;=Dashboard!$B$2,A988&lt;EDATE(Dashboard!$B$2,1),D988&lt;&gt;""),E988,"")</f>
        <v/>
      </c>
      <c r="J988" s="43" t="str">
        <f t="shared" si="1"/>
        <v/>
      </c>
    </row>
    <row r="989" ht="15.75" customHeight="1">
      <c r="A989" s="99"/>
      <c r="B989" s="93"/>
      <c r="C989" s="93"/>
      <c r="D989" s="93"/>
      <c r="E989" s="94"/>
      <c r="F989" s="93"/>
      <c r="G989" s="93"/>
      <c r="H989" s="93"/>
      <c r="I989" s="43" t="str">
        <f>IF(AND(A989&gt;=Dashboard!$B$2,A989&lt;EDATE(Dashboard!$B$2,1),D989&lt;&gt;""),E989,"")</f>
        <v/>
      </c>
      <c r="J989" s="43" t="str">
        <f t="shared" si="1"/>
        <v/>
      </c>
    </row>
    <row r="990" ht="15.75" customHeight="1">
      <c r="A990" s="99"/>
      <c r="B990" s="93"/>
      <c r="C990" s="93"/>
      <c r="D990" s="93"/>
      <c r="E990" s="94"/>
      <c r="F990" s="93"/>
      <c r="G990" s="93"/>
      <c r="H990" s="93"/>
      <c r="I990" s="43" t="str">
        <f>IF(AND(A990&gt;=Dashboard!$B$2,A990&lt;EDATE(Dashboard!$B$2,1),D990&lt;&gt;""),E990,"")</f>
        <v/>
      </c>
      <c r="J990" s="43" t="str">
        <f t="shared" si="1"/>
        <v/>
      </c>
    </row>
    <row r="991" ht="15.75" customHeight="1">
      <c r="A991" s="99"/>
      <c r="B991" s="93"/>
      <c r="C991" s="93"/>
      <c r="D991" s="93"/>
      <c r="E991" s="94"/>
      <c r="F991" s="93"/>
      <c r="G991" s="93"/>
      <c r="H991" s="93"/>
      <c r="I991" s="43" t="str">
        <f>IF(AND(A991&gt;=Dashboard!$B$2,A991&lt;EDATE(Dashboard!$B$2,1),D991&lt;&gt;""),E991,"")</f>
        <v/>
      </c>
      <c r="J991" s="43" t="str">
        <f t="shared" si="1"/>
        <v/>
      </c>
    </row>
    <row r="992" ht="15.75" customHeight="1">
      <c r="A992" s="99"/>
      <c r="B992" s="93"/>
      <c r="C992" s="93"/>
      <c r="D992" s="93"/>
      <c r="E992" s="94"/>
      <c r="F992" s="93"/>
      <c r="G992" s="93"/>
      <c r="H992" s="93"/>
      <c r="I992" s="43" t="str">
        <f>IF(AND(A992&gt;=Dashboard!$B$2,A992&lt;EDATE(Dashboard!$B$2,1),D992&lt;&gt;""),E992,"")</f>
        <v/>
      </c>
      <c r="J992" s="43" t="str">
        <f t="shared" si="1"/>
        <v/>
      </c>
    </row>
    <row r="993" ht="15.75" customHeight="1">
      <c r="A993" s="99"/>
      <c r="B993" s="93"/>
      <c r="C993" s="93"/>
      <c r="D993" s="93"/>
      <c r="E993" s="94"/>
      <c r="F993" s="93"/>
      <c r="G993" s="93"/>
      <c r="H993" s="93"/>
      <c r="I993" s="43" t="str">
        <f>IF(AND(A993&gt;=Dashboard!$B$2,A993&lt;EDATE(Dashboard!$B$2,1),D993&lt;&gt;""),E993,"")</f>
        <v/>
      </c>
      <c r="J993" s="43" t="str">
        <f t="shared" si="1"/>
        <v/>
      </c>
    </row>
    <row r="994" ht="15.75" customHeight="1">
      <c r="A994" s="99"/>
      <c r="B994" s="93"/>
      <c r="C994" s="93"/>
      <c r="D994" s="93"/>
      <c r="E994" s="94"/>
      <c r="F994" s="93"/>
      <c r="G994" s="93"/>
      <c r="H994" s="93"/>
      <c r="I994" s="43" t="str">
        <f>IF(AND(A994&gt;=Dashboard!$B$2,A994&lt;EDATE(Dashboard!$B$2,1),D994&lt;&gt;""),E994,"")</f>
        <v/>
      </c>
      <c r="J994" s="43" t="str">
        <f t="shared" si="1"/>
        <v/>
      </c>
    </row>
    <row r="995" ht="15.75" customHeight="1">
      <c r="A995" s="99"/>
      <c r="B995" s="93"/>
      <c r="C995" s="93"/>
      <c r="D995" s="93"/>
      <c r="E995" s="94"/>
      <c r="F995" s="93"/>
      <c r="G995" s="93"/>
      <c r="H995" s="93"/>
      <c r="I995" s="43" t="str">
        <f>IF(AND(A995&gt;=Dashboard!$B$2,A995&lt;EDATE(Dashboard!$B$2,1),D995&lt;&gt;""),E995,"")</f>
        <v/>
      </c>
      <c r="J995" s="43" t="str">
        <f t="shared" si="1"/>
        <v/>
      </c>
    </row>
    <row r="996" ht="15.75" customHeight="1">
      <c r="A996" s="99"/>
      <c r="B996" s="93"/>
      <c r="C996" s="93"/>
      <c r="D996" s="93"/>
      <c r="E996" s="94"/>
      <c r="F996" s="93"/>
      <c r="G996" s="93"/>
      <c r="H996" s="93"/>
      <c r="I996" s="43" t="str">
        <f>IF(AND(A996&gt;=Dashboard!$B$2,A996&lt;EDATE(Dashboard!$B$2,1),D996&lt;&gt;""),E996,"")</f>
        <v/>
      </c>
      <c r="J996" s="43" t="str">
        <f t="shared" si="1"/>
        <v/>
      </c>
    </row>
    <row r="997" ht="15.75" customHeight="1">
      <c r="A997" s="99"/>
      <c r="B997" s="93"/>
      <c r="C997" s="93"/>
      <c r="D997" s="93"/>
      <c r="E997" s="94"/>
      <c r="F997" s="93"/>
      <c r="G997" s="93"/>
      <c r="H997" s="93"/>
      <c r="I997" s="43" t="str">
        <f>IF(AND(A997&gt;=Dashboard!$B$2,A997&lt;EDATE(Dashboard!$B$2,1),D997&lt;&gt;""),E997,"")</f>
        <v/>
      </c>
      <c r="J997" s="43" t="str">
        <f t="shared" si="1"/>
        <v/>
      </c>
    </row>
    <row r="998" ht="15.75" customHeight="1">
      <c r="A998" s="99"/>
      <c r="B998" s="93"/>
      <c r="C998" s="93"/>
      <c r="D998" s="93"/>
      <c r="E998" s="94"/>
      <c r="F998" s="93"/>
      <c r="G998" s="93"/>
      <c r="H998" s="93"/>
      <c r="I998" s="43" t="str">
        <f>IF(AND(A998&gt;=Dashboard!$B$2,A998&lt;EDATE(Dashboard!$B$2,1),D998&lt;&gt;""),E998,"")</f>
        <v/>
      </c>
      <c r="J998" s="43" t="str">
        <f t="shared" si="1"/>
        <v/>
      </c>
    </row>
    <row r="999" ht="15.75" customHeight="1">
      <c r="A999" s="99"/>
      <c r="B999" s="93"/>
      <c r="C999" s="93"/>
      <c r="D999" s="93"/>
      <c r="E999" s="94"/>
      <c r="F999" s="93"/>
      <c r="G999" s="93"/>
      <c r="H999" s="93"/>
      <c r="I999" s="43" t="str">
        <f>IF(AND(A999&gt;=Dashboard!$B$2,A999&lt;EDATE(Dashboard!$B$2,1),D999&lt;&gt;""),E999,"")</f>
        <v/>
      </c>
      <c r="J999" s="43" t="str">
        <f t="shared" si="1"/>
        <v/>
      </c>
    </row>
    <row r="1000" ht="15.75" customHeight="1">
      <c r="A1000" s="99"/>
      <c r="B1000" s="93"/>
      <c r="C1000" s="93"/>
      <c r="D1000" s="93"/>
      <c r="E1000" s="94"/>
      <c r="F1000" s="93"/>
      <c r="G1000" s="93"/>
      <c r="H1000" s="93"/>
      <c r="I1000" s="43" t="str">
        <f>IF(AND(A1000&gt;=Dashboard!$B$2,A1000&lt;EDATE(Dashboard!$B$2,1),D1000&lt;&gt;""),E1000,"")</f>
        <v/>
      </c>
      <c r="J1000" s="43" t="str">
        <f t="shared" si="1"/>
        <v/>
      </c>
    </row>
    <row r="1001" ht="15.75" customHeight="1">
      <c r="A1001" s="99"/>
      <c r="B1001" s="93"/>
      <c r="C1001" s="93"/>
      <c r="D1001" s="93"/>
      <c r="E1001" s="94"/>
      <c r="F1001" s="93"/>
      <c r="G1001" s="93"/>
      <c r="H1001" s="93"/>
      <c r="I1001" s="43" t="str">
        <f>IF(AND(A1001&gt;=Dashboard!$B$2,A1001&lt;EDATE(Dashboard!$B$2,1),D1001&lt;&gt;""),E1001,"")</f>
        <v/>
      </c>
      <c r="J1001" s="43" t="str">
        <f t="shared" si="1"/>
        <v/>
      </c>
    </row>
    <row r="1002" ht="15.75" customHeight="1">
      <c r="A1002" s="99"/>
      <c r="B1002" s="93"/>
      <c r="C1002" s="93"/>
      <c r="D1002" s="93"/>
      <c r="E1002" s="94"/>
      <c r="F1002" s="93"/>
      <c r="G1002" s="93"/>
      <c r="H1002" s="93"/>
      <c r="I1002" s="43" t="str">
        <f>IF(AND(A1002&gt;=Dashboard!$B$2,A1002&lt;EDATE(Dashboard!$B$2,1),D1002&lt;&gt;""),E1002,"")</f>
        <v/>
      </c>
      <c r="J1002" s="43" t="str">
        <f t="shared" si="1"/>
        <v/>
      </c>
    </row>
    <row r="1003" ht="15.75" customHeight="1">
      <c r="A1003" s="99"/>
      <c r="B1003" s="93"/>
      <c r="C1003" s="93"/>
      <c r="D1003" s="93"/>
      <c r="E1003" s="94"/>
      <c r="F1003" s="93"/>
      <c r="G1003" s="93"/>
      <c r="H1003" s="93"/>
      <c r="I1003" s="43" t="str">
        <f>IF(AND(A1003&gt;=Dashboard!$B$2,A1003&lt;EDATE(Dashboard!$B$2,1),D1003&lt;&gt;""),E1003,"")</f>
        <v/>
      </c>
      <c r="J1003" s="43" t="str">
        <f t="shared" si="1"/>
        <v/>
      </c>
    </row>
  </sheetData>
  <customSheetViews>
    <customSheetView guid="{69FB9DC0-E09B-4805-B884-5FF2B39EA250}" filter="1" showAutoFilter="1">
      <autoFilter ref="$A$1:$J$1003"/>
    </customSheetView>
    <customSheetView guid="{F6A51401-1731-4BA5-B975-AF5A24E1ED3B}" filter="1" showAutoFilter="1">
      <autoFilter ref="$A$1:$J$1003"/>
    </customSheetView>
  </customSheetViews>
  <printOptions/>
  <pageMargins bottom="1.0" footer="0.0" header="0.0" left="0.75" right="0.75" top="1.0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57"/>
    <col customWidth="1" min="2" max="2" width="11.71"/>
    <col customWidth="1" min="3" max="3" width="15.71"/>
    <col customWidth="1" min="4" max="4" width="19.86"/>
    <col customWidth="1" min="5" max="5" width="19.71"/>
    <col customWidth="1" min="6" max="6" width="13.57"/>
    <col customWidth="1" min="7" max="25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3" t="s">
        <v>7</v>
      </c>
      <c r="B2" s="4" t="s">
        <v>8</v>
      </c>
      <c r="C2" s="4" t="s">
        <v>9</v>
      </c>
      <c r="D2" s="4" t="s">
        <v>10</v>
      </c>
      <c r="E2" s="8">
        <f>COUNTIFS(ChiTieu!D:D,D2,ChiTieu!A:A,"&gt;="&amp;Dashboard!$B$2,ChiTieu!A:A,"&lt;"&amp;EDATE(Dashboard!$B$2,1))</f>
        <v>1</v>
      </c>
      <c r="F2" s="3">
        <f t="shared" ref="F2:F10" si="1">IF(E2=0,"",RANK(E2,$E$2:$E$100,0)+COUNTIF($E$2:E2,E2)-1)</f>
        <v>5</v>
      </c>
    </row>
    <row r="3">
      <c r="A3" s="3" t="s">
        <v>15</v>
      </c>
      <c r="B3" s="4" t="s">
        <v>17</v>
      </c>
      <c r="C3" s="4" t="s">
        <v>18</v>
      </c>
      <c r="D3" s="4" t="s">
        <v>19</v>
      </c>
      <c r="E3" s="8">
        <f>COUNTIFS(ChiTieu!D:D,D3,ChiTieu!A:A,"&gt;="&amp;Dashboard!$B$2,ChiTieu!A:A,"&lt;"&amp;EDATE(Dashboard!$B$2,1))</f>
        <v>8</v>
      </c>
      <c r="F3" s="3">
        <f t="shared" si="1"/>
        <v>3</v>
      </c>
    </row>
    <row r="4">
      <c r="A4" s="3" t="s">
        <v>23</v>
      </c>
      <c r="B4" s="4" t="s">
        <v>24</v>
      </c>
      <c r="C4" s="4" t="s">
        <v>25</v>
      </c>
      <c r="D4" s="4" t="s">
        <v>26</v>
      </c>
      <c r="E4" s="8">
        <f>COUNTIFS(ChiTieu!D:D,D4,ChiTieu!A:A,"&gt;="&amp;Dashboard!$B$2,ChiTieu!A:A,"&lt;"&amp;EDATE(Dashboard!$B$2,1))</f>
        <v>27</v>
      </c>
      <c r="F4" s="3">
        <f t="shared" si="1"/>
        <v>1</v>
      </c>
    </row>
    <row r="5">
      <c r="A5" s="3" t="s">
        <v>31</v>
      </c>
      <c r="B5" s="4" t="s">
        <v>32</v>
      </c>
      <c r="C5" s="4" t="s">
        <v>34</v>
      </c>
      <c r="D5" s="4" t="s">
        <v>35</v>
      </c>
      <c r="E5" s="8">
        <f>COUNTIFS(ChiTieu!D:D,D5,ChiTieu!A:A,"&gt;="&amp;Dashboard!$B$2,ChiTieu!A:A,"&lt;"&amp;EDATE(Dashboard!$B$2,1))</f>
        <v>2</v>
      </c>
      <c r="F5" s="3">
        <f t="shared" si="1"/>
        <v>4</v>
      </c>
    </row>
    <row r="6">
      <c r="A6" s="3" t="s">
        <v>38</v>
      </c>
      <c r="B6" s="4" t="s">
        <v>39</v>
      </c>
      <c r="C6" s="4" t="s">
        <v>40</v>
      </c>
      <c r="D6" s="4" t="s">
        <v>41</v>
      </c>
      <c r="E6" s="8">
        <f>COUNTIFS(ChiTieu!D:D,D6,ChiTieu!A:A,"&gt;="&amp;Dashboard!$B$2,ChiTieu!A:A,"&lt;"&amp;EDATE(Dashboard!$B$2,1))</f>
        <v>20</v>
      </c>
      <c r="F6" s="3">
        <f t="shared" si="1"/>
        <v>2</v>
      </c>
    </row>
    <row r="7">
      <c r="A7" s="3" t="s">
        <v>46</v>
      </c>
      <c r="B7" s="4" t="s">
        <v>47</v>
      </c>
      <c r="C7" s="4" t="s">
        <v>48</v>
      </c>
      <c r="D7" s="4" t="s">
        <v>49</v>
      </c>
      <c r="E7" s="8">
        <f>COUNTIFS(ChiTieu!D:D,D7,ChiTieu!A:A,"&gt;="&amp;Dashboard!$B$2,ChiTieu!A:A,"&lt;"&amp;EDATE(Dashboard!$B$2,1))</f>
        <v>0</v>
      </c>
      <c r="F7" s="3" t="str">
        <f t="shared" si="1"/>
        <v/>
      </c>
    </row>
    <row r="8">
      <c r="A8" s="3" t="s">
        <v>17</v>
      </c>
      <c r="C8" s="4" t="s">
        <v>53</v>
      </c>
      <c r="D8" s="4" t="s">
        <v>54</v>
      </c>
      <c r="E8" s="8">
        <f>COUNTIFS(ChiTieu!D:D,D8,ChiTieu!A:A,"&gt;="&amp;Dashboard!$B$2,ChiTieu!A:A,"&lt;"&amp;EDATE(Dashboard!$B$2,1))</f>
        <v>0</v>
      </c>
      <c r="F8" s="3" t="str">
        <f t="shared" si="1"/>
        <v/>
      </c>
    </row>
    <row r="9">
      <c r="A9" s="3" t="s">
        <v>57</v>
      </c>
      <c r="D9" s="4" t="s">
        <v>58</v>
      </c>
      <c r="E9" s="8">
        <f>COUNTIFS(ChiTieu!D:D,D9,ChiTieu!A:A,"&gt;="&amp;Dashboard!$B$2,ChiTieu!A:A,"&lt;"&amp;EDATE(Dashboard!$B$2,1))</f>
        <v>1</v>
      </c>
      <c r="F9" s="3">
        <f t="shared" si="1"/>
        <v>6</v>
      </c>
    </row>
    <row r="10">
      <c r="A10" s="3" t="s">
        <v>60</v>
      </c>
      <c r="D10" s="4" t="s">
        <v>61</v>
      </c>
      <c r="E10" s="8">
        <f>COUNTIFS(ChiTieu!D:D,D10,ChiTieu!A:A,"&gt;="&amp;Dashboard!$B$2,ChiTieu!A:A,"&lt;"&amp;EDATE(Dashboard!$B$2,1))</f>
        <v>0</v>
      </c>
      <c r="F10" s="3" t="str">
        <f t="shared" si="1"/>
        <v/>
      </c>
    </row>
    <row r="11">
      <c r="A11" s="3" t="s">
        <v>63</v>
      </c>
      <c r="E11" s="8"/>
    </row>
    <row r="12">
      <c r="A12" s="3" t="s">
        <v>64</v>
      </c>
      <c r="E12" s="8"/>
    </row>
    <row r="13">
      <c r="A13" s="3" t="s">
        <v>65</v>
      </c>
      <c r="E13" s="8"/>
    </row>
    <row r="14">
      <c r="A14" s="3" t="s">
        <v>66</v>
      </c>
      <c r="E14" s="8"/>
    </row>
    <row r="15">
      <c r="A15" s="3" t="s">
        <v>67</v>
      </c>
      <c r="E15" s="8"/>
    </row>
    <row r="16">
      <c r="A16" s="3" t="s">
        <v>68</v>
      </c>
      <c r="E16" s="8"/>
    </row>
    <row r="17">
      <c r="A17" s="3" t="s">
        <v>47</v>
      </c>
      <c r="E17" s="8"/>
    </row>
    <row r="18">
      <c r="A18" s="4" t="s">
        <v>70</v>
      </c>
      <c r="E18" s="8"/>
    </row>
    <row r="19">
      <c r="A19" s="4" t="s">
        <v>71</v>
      </c>
      <c r="E19" s="8"/>
    </row>
    <row r="20">
      <c r="A20" s="4" t="s">
        <v>72</v>
      </c>
      <c r="E20" s="8"/>
    </row>
    <row r="21" ht="15.75" customHeight="1">
      <c r="E21" s="8"/>
    </row>
    <row r="22" ht="15.75" customHeight="1">
      <c r="E22" s="8"/>
    </row>
    <row r="23" ht="15.75" customHeight="1">
      <c r="E23" s="8"/>
    </row>
    <row r="24" ht="15.75" customHeight="1">
      <c r="E24" s="8"/>
    </row>
    <row r="25" ht="15.75" customHeight="1">
      <c r="E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outlinePr summaryBelow="0" summaryRight="0"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21.57"/>
    <col customWidth="1" min="4" max="4" width="11.57"/>
    <col customWidth="1" min="5" max="5" width="18.86"/>
    <col customWidth="1" min="7" max="7" width="21.0"/>
    <col customWidth="1" min="8" max="8" width="35.29"/>
  </cols>
  <sheetData>
    <row r="1" ht="15.75" customHeight="1">
      <c r="A1" s="9" t="s">
        <v>13</v>
      </c>
      <c r="B1" s="10"/>
      <c r="C1" s="10"/>
      <c r="D1" s="10"/>
      <c r="E1" s="10"/>
      <c r="G1" s="12" t="s">
        <v>16</v>
      </c>
      <c r="H1" s="14"/>
    </row>
    <row r="2" ht="15.75" customHeight="1">
      <c r="A2" s="4" t="s">
        <v>22</v>
      </c>
      <c r="B2" s="16">
        <f>Dashboard!B2</f>
        <v>46225</v>
      </c>
      <c r="G2" s="4" t="s">
        <v>28</v>
      </c>
      <c r="H2" s="17" t="s">
        <v>30</v>
      </c>
    </row>
    <row r="3" ht="15.75" customHeight="1">
      <c r="A3" s="18"/>
      <c r="B3" s="18"/>
      <c r="C3" s="19"/>
      <c r="D3" s="18"/>
      <c r="E3" s="18"/>
      <c r="G3" s="4" t="s">
        <v>36</v>
      </c>
      <c r="H3" s="21">
        <v>46226.0</v>
      </c>
    </row>
    <row r="4" ht="15.75" customHeight="1">
      <c r="A4" s="25" t="s">
        <v>14</v>
      </c>
      <c r="B4" s="25" t="s">
        <v>44</v>
      </c>
      <c r="C4" s="27" t="s">
        <v>45</v>
      </c>
      <c r="D4" s="25" t="s">
        <v>50</v>
      </c>
      <c r="E4" s="25" t="s">
        <v>12</v>
      </c>
      <c r="G4" s="4" t="s">
        <v>51</v>
      </c>
      <c r="H4" s="31">
        <f>Dashboard!B2</f>
        <v>46225</v>
      </c>
    </row>
    <row r="5" ht="15.75" customHeight="1">
      <c r="A5" s="33">
        <f>$B$2</f>
        <v>46225</v>
      </c>
      <c r="B5" s="37">
        <f>IF(MONTH(A5)=MONTH($B$2),SUMIFS(ChiTieu!$E:$E,ChiTieu!$A:$A,A5),"")</f>
        <v>0</v>
      </c>
      <c r="D5" s="44">
        <f>EOMONTH(MIN(ChiTieu!$A$2:$A$1003),-1)+1</f>
        <v>46204</v>
      </c>
      <c r="E5" s="50">
        <f>IF(D5="","",SUMIFS(ChiTieu!$E:$E,ChiTieu!$A:$A,"&gt;="&amp;D5,ChiTieu!$A:$A,"&lt;"&amp;EDATE(D5,1)))</f>
        <v>2284000</v>
      </c>
    </row>
    <row r="6" ht="15.75" customHeight="1">
      <c r="A6" s="33">
        <f t="shared" ref="A6:A35" si="1">IF(A5="","",IF(A5+1&lt;EDATE($B$2,1),A5+1,""))</f>
        <v>46226</v>
      </c>
      <c r="B6" s="37">
        <f>IF(A6="","",SUMIFS(ChiTieu!$E:$E,ChiTieu!$A:$A,A6))</f>
        <v>116000</v>
      </c>
      <c r="D6" s="44">
        <f>IF(EDATE(D5,1)&lt;=EOMONTH(MAX(ChiTieu!$A$2:$A$1003),-1)+1,EDATE(D5,1),"")</f>
        <v>46235</v>
      </c>
      <c r="E6" s="50">
        <f>IF(D6="","",SUMIFS(ChiTieu!$E:$E,ChiTieu!$A:$A,"&gt;="&amp;D6,ChiTieu!$A:$A,"&lt;"&amp;EDATE(D6,1)))</f>
        <v>4666157</v>
      </c>
      <c r="G6" s="54" t="s">
        <v>80</v>
      </c>
      <c r="H6" s="55" t="str">
        <f>IF(H2="Ngày",TEXT(H3,"dd/mm/yyyy"),IF(H2="Tháng",TEXT(H4,"mm/yyyy"),IF(H2="Tất cả","Toàn bộ dữ liệu","Chọn: Ngày / Tháng / Tất cả")))</f>
        <v>Toàn bộ dữ liệu</v>
      </c>
    </row>
    <row r="7" ht="15.75" customHeight="1">
      <c r="A7" s="33">
        <f t="shared" si="1"/>
        <v>46227</v>
      </c>
      <c r="B7" s="37">
        <f>IF(A7="","",SUMIFS(ChiTieu!$E:$E,ChiTieu!$A:$A,A7))</f>
        <v>490000</v>
      </c>
      <c r="D7" s="44" t="str">
        <f>IF(D6="","",IF(EDATE(D6,1)&lt;=EOMONTH(MAX(ChiTieu!$A$2:$A$1003),-1)+1,EDATE(D6,1),""))</f>
        <v/>
      </c>
      <c r="E7" s="50" t="str">
        <f>IF(D7="","",SUMIFS(ChiTieu!$E:$E,ChiTieu!$A:$A,"&gt;="&amp;D7,ChiTieu!$A:$A,"&lt;"&amp;EDATE(D7,1)))</f>
        <v/>
      </c>
      <c r="G7" s="54" t="s">
        <v>81</v>
      </c>
      <c r="H7" s="60">
        <f>IF(H2="Ngày",SUMIFS(ChiTieu!$E:$E,ChiTieu!$A:$A,H3),IF(H2="Tháng",SUMIFS(ChiTieu!$E:$E,ChiTieu!$A:$A,"&gt;="&amp;EOMONTH(H4,-1)+1,ChiTieu!$A:$A,"&lt;"&amp;EOMONTH(H4,0)+1),IF(H2="Tất cả",SUM(ChiTieu!$E:$E),0)))</f>
        <v>6950157</v>
      </c>
    </row>
    <row r="8" ht="15.75" customHeight="1">
      <c r="A8" s="33">
        <f t="shared" si="1"/>
        <v>46228</v>
      </c>
      <c r="B8" s="37">
        <f>IF(A8="","",SUMIFS(ChiTieu!$E:$E,ChiTieu!$A:$A,A8))</f>
        <v>248000</v>
      </c>
      <c r="D8" s="44" t="str">
        <f>IF(D7="","",IF(EDATE(D7,1)&lt;=EOMONTH(MAX(ChiTieu!$A$2:$A$1003),-1)+1,EDATE(D7,1),""))</f>
        <v/>
      </c>
      <c r="E8" s="50" t="str">
        <f>IF(D8="","",SUMIFS(ChiTieu!$E:$E,ChiTieu!$A:$A,"&gt;="&amp;D8,ChiTieu!$A:$A,"&lt;"&amp;EDATE(D8,1)))</f>
        <v/>
      </c>
    </row>
    <row r="9" ht="15.75" customHeight="1">
      <c r="A9" s="33">
        <f t="shared" si="1"/>
        <v>46229</v>
      </c>
      <c r="B9" s="37">
        <f>IF(A9="","",SUMIFS(ChiTieu!$E:$E,ChiTieu!$A:$A,A9))</f>
        <v>150000</v>
      </c>
      <c r="D9" s="44" t="str">
        <f>IF(D8="","",IF(EDATE(D8,1)&lt;=EOMONTH(MAX(ChiTieu!$A$2:$A$1003),-1)+1,EDATE(D8,1),""))</f>
        <v/>
      </c>
      <c r="E9" s="50" t="str">
        <f>IF(D9="","",SUMIFS(ChiTieu!$E:$E,ChiTieu!$A:$A,"&gt;="&amp;D9,ChiTieu!$A:$A,"&lt;"&amp;EDATE(D9,1)))</f>
        <v/>
      </c>
      <c r="G9" s="4" t="s">
        <v>83</v>
      </c>
      <c r="H9" s="64" t="s">
        <v>84</v>
      </c>
    </row>
    <row r="10" ht="15.75" customHeight="1">
      <c r="A10" s="33">
        <f t="shared" si="1"/>
        <v>46230</v>
      </c>
      <c r="B10" s="37">
        <f>IF(A10="","",SUMIFS(ChiTieu!$E:$E,ChiTieu!$A:$A,A10))</f>
        <v>271000</v>
      </c>
      <c r="D10" s="44" t="str">
        <f>IF(D9="","",IF(EDATE(D9,1)&lt;=EOMONTH(MAX(ChiTieu!$A$2:$A$1003),-1)+1,EDATE(D9,1),""))</f>
        <v/>
      </c>
      <c r="E10" s="50" t="str">
        <f>IF(D10="","",SUMIFS(ChiTieu!$E:$E,ChiTieu!$A:$A,"&gt;="&amp;D10,ChiTieu!$A:$A,"&lt;"&amp;EDATE(D10,1)))</f>
        <v/>
      </c>
      <c r="H10" s="64" t="s">
        <v>88</v>
      </c>
    </row>
    <row r="11" ht="15.75" customHeight="1">
      <c r="A11" s="33">
        <f t="shared" si="1"/>
        <v>46231</v>
      </c>
      <c r="B11" s="37">
        <f>IF(A11="","",SUMIFS(ChiTieu!$E:$E,ChiTieu!$A:$A,A11))</f>
        <v>259000</v>
      </c>
      <c r="D11" s="44" t="str">
        <f>IF(D10="","",IF(EDATE(D10,1)&lt;=EOMONTH(MAX(ChiTieu!$A$2:$A$1003),-1)+1,EDATE(D10,1),""))</f>
        <v/>
      </c>
      <c r="E11" s="50" t="str">
        <f>IF(D11="","",SUMIFS(ChiTieu!$E:$E,ChiTieu!$A:$A,"&gt;="&amp;D11,ChiTieu!$A:$A,"&lt;"&amp;EDATE(D11,1)))</f>
        <v/>
      </c>
    </row>
    <row r="12" ht="15.75" customHeight="1">
      <c r="A12" s="33">
        <f t="shared" si="1"/>
        <v>46232</v>
      </c>
      <c r="B12" s="37">
        <f>IF(A12="","",SUMIFS(ChiTieu!$E:$E,ChiTieu!$A:$A,A12))</f>
        <v>317000</v>
      </c>
      <c r="D12" s="44" t="str">
        <f>IF(D11="","",IF(EDATE(D11,1)&lt;=EOMONTH(MAX(ChiTieu!$A$2:$A$1003),-1)+1,EDATE(D11,1),""))</f>
        <v/>
      </c>
      <c r="E12" s="50" t="str">
        <f>IF(D12="","",SUMIFS(ChiTieu!$E:$E,ChiTieu!$A:$A,"&gt;="&amp;D12,ChiTieu!$A:$A,"&lt;"&amp;EDATE(D12,1)))</f>
        <v/>
      </c>
    </row>
    <row r="13" ht="15.75" customHeight="1">
      <c r="A13" s="33">
        <f t="shared" si="1"/>
        <v>46233</v>
      </c>
      <c r="B13" s="37">
        <f>IF(A13="","",SUMIFS(ChiTieu!$E:$E,ChiTieu!$A:$A,A13))</f>
        <v>188000</v>
      </c>
      <c r="D13" s="44" t="str">
        <f>IF(D12="","",IF(EDATE(D12,1)&lt;=EOMONTH(MAX(ChiTieu!$A$2:$A$1003),-1)+1,EDATE(D12,1),""))</f>
        <v/>
      </c>
      <c r="E13" s="50" t="str">
        <f>IF(D13="","",SUMIFS(ChiTieu!$E:$E,ChiTieu!$A:$A,"&gt;="&amp;D13,ChiTieu!$A:$A,"&lt;"&amp;EDATE(D13,1)))</f>
        <v/>
      </c>
    </row>
    <row r="14" ht="15.75" customHeight="1">
      <c r="A14" s="33">
        <f t="shared" si="1"/>
        <v>46234</v>
      </c>
      <c r="B14" s="37">
        <f>IF(A14="","",SUMIFS(ChiTieu!$E:$E,ChiTieu!$A:$A,A14))</f>
        <v>245000</v>
      </c>
      <c r="D14" s="44" t="str">
        <f>IF(D13="","",IF(EDATE(D13,1)&lt;=EOMONTH(MAX(ChiTieu!$A$2:$A$1003),-1)+1,EDATE(D13,1),""))</f>
        <v/>
      </c>
      <c r="E14" s="50" t="str">
        <f>IF(D14="","",SUMIFS(ChiTieu!$E:$E,ChiTieu!$A:$A,"&gt;="&amp;D14,ChiTieu!$A:$A,"&lt;"&amp;EDATE(D14,1)))</f>
        <v/>
      </c>
    </row>
    <row r="15" ht="15.75" customHeight="1">
      <c r="A15" s="33">
        <f t="shared" si="1"/>
        <v>46235</v>
      </c>
      <c r="B15" s="37">
        <f>IF(A15="","",SUMIFS(ChiTieu!$E:$E,ChiTieu!$A:$A,A15))</f>
        <v>128000</v>
      </c>
      <c r="D15" s="44" t="str">
        <f>IF(D14="","",IF(EDATE(D14,1)&lt;=EOMONTH(MAX(ChiTieu!$A$2:$A$1003),-1)+1,EDATE(D14,1),""))</f>
        <v/>
      </c>
      <c r="E15" s="50" t="str">
        <f>IF(D15="","",SUMIFS(ChiTieu!$E:$E,ChiTieu!$A:$A,"&gt;="&amp;D15,ChiTieu!$A:$A,"&lt;"&amp;EDATE(D15,1)))</f>
        <v/>
      </c>
    </row>
    <row r="16" ht="15.75" customHeight="1">
      <c r="A16" s="33">
        <f t="shared" si="1"/>
        <v>46236</v>
      </c>
      <c r="B16" s="37">
        <f>IF(A16="","",SUMIFS(ChiTieu!$E:$E,ChiTieu!$A:$A,A16))</f>
        <v>110000</v>
      </c>
      <c r="D16" s="44" t="str">
        <f>IF(D15="","",IF(EDATE(D15,1)&lt;=EOMONTH(MAX(ChiTieu!$A$2:$A$1003),-1)+1,EDATE(D15,1),""))</f>
        <v/>
      </c>
      <c r="E16" s="50" t="str">
        <f>IF(D16="","",SUMIFS(ChiTieu!$E:$E,ChiTieu!$A:$A,"&gt;="&amp;D16,ChiTieu!$A:$A,"&lt;"&amp;EDATE(D16,1)))</f>
        <v/>
      </c>
    </row>
    <row r="17" ht="15.75" customHeight="1">
      <c r="A17" s="33">
        <f t="shared" si="1"/>
        <v>46237</v>
      </c>
      <c r="B17" s="37">
        <f>IF(A17="","",SUMIFS(ChiTieu!$E:$E,ChiTieu!$A:$A,A17))</f>
        <v>331000</v>
      </c>
      <c r="D17" s="44" t="str">
        <f>IF(D16="","",IF(EDATE(D16,1)&lt;=EOMONTH(MAX(ChiTieu!$A$2:$A$1003),-1)+1,EDATE(D16,1),""))</f>
        <v/>
      </c>
      <c r="E17" s="50" t="str">
        <f>IF(D17="","",SUMIFS(ChiTieu!$E:$E,ChiTieu!$A:$A,"&gt;="&amp;D17,ChiTieu!$A:$A,"&lt;"&amp;EDATE(D17,1)))</f>
        <v/>
      </c>
    </row>
    <row r="18" ht="15.75" customHeight="1">
      <c r="A18" s="33">
        <f t="shared" si="1"/>
        <v>46238</v>
      </c>
      <c r="B18" s="37">
        <f>IF(A18="","",SUMIFS(ChiTieu!$E:$E,ChiTieu!$A:$A,A18))</f>
        <v>1674157</v>
      </c>
      <c r="D18" s="44" t="str">
        <f>IF(D17="","",IF(EDATE(D17,1)&lt;=EOMONTH(MAX(ChiTieu!$A$2:$A$1003),-1)+1,EDATE(D17,1),""))</f>
        <v/>
      </c>
      <c r="E18" s="50" t="str">
        <f>IF(D18="","",SUMIFS(ChiTieu!$E:$E,ChiTieu!$A:$A,"&gt;="&amp;D18,ChiTieu!$A:$A,"&lt;"&amp;EDATE(D18,1)))</f>
        <v/>
      </c>
    </row>
    <row r="19" ht="15.75" customHeight="1">
      <c r="A19" s="33">
        <f t="shared" si="1"/>
        <v>46239</v>
      </c>
      <c r="B19" s="37">
        <f>IF(A19="","",SUMIFS(ChiTieu!$E:$E,ChiTieu!$A:$A,A19))</f>
        <v>136000</v>
      </c>
      <c r="D19" s="44" t="str">
        <f>IF(D18="","",IF(EDATE(D18,1)&lt;=EOMONTH(MAX(ChiTieu!$A$2:$A$1003),-1)+1,EDATE(D18,1),""))</f>
        <v/>
      </c>
      <c r="E19" s="50" t="str">
        <f>IF(D19="","",SUMIFS(ChiTieu!$E:$E,ChiTieu!$A:$A,"&gt;="&amp;D19,ChiTieu!$A:$A,"&lt;"&amp;EDATE(D19,1)))</f>
        <v/>
      </c>
    </row>
    <row r="20" ht="15.75" customHeight="1">
      <c r="A20" s="33">
        <f t="shared" si="1"/>
        <v>46240</v>
      </c>
      <c r="B20" s="37">
        <f>IF(A20="","",SUMIFS(ChiTieu!$E:$E,ChiTieu!$A:$A,A20))</f>
        <v>214000</v>
      </c>
      <c r="D20" s="44" t="str">
        <f>IF(D19="","",IF(EDATE(D19,1)&lt;=EOMONTH(MAX(ChiTieu!$A$2:$A$1003),-1)+1,EDATE(D19,1),""))</f>
        <v/>
      </c>
      <c r="E20" s="50" t="str">
        <f>IF(D20="","",SUMIFS(ChiTieu!$E:$E,ChiTieu!$A:$A,"&gt;="&amp;D20,ChiTieu!$A:$A,"&lt;"&amp;EDATE(D20,1)))</f>
        <v/>
      </c>
    </row>
    <row r="21" ht="15.75" customHeight="1">
      <c r="A21" s="33">
        <f t="shared" si="1"/>
        <v>46241</v>
      </c>
      <c r="B21" s="37">
        <f>IF(A21="","",SUMIFS(ChiTieu!$E:$E,ChiTieu!$A:$A,A21))</f>
        <v>241000</v>
      </c>
      <c r="D21" s="44" t="str">
        <f>IF(D20="","",IF(EDATE(D20,1)&lt;=EOMONTH(MAX(ChiTieu!$A$2:$A$1003),-1)+1,EDATE(D20,1),""))</f>
        <v/>
      </c>
      <c r="E21" s="50" t="str">
        <f>IF(D21="","",SUMIFS(ChiTieu!$E:$E,ChiTieu!$A:$A,"&gt;="&amp;D21,ChiTieu!$A:$A,"&lt;"&amp;EDATE(D21,1)))</f>
        <v/>
      </c>
    </row>
    <row r="22" ht="15.75" customHeight="1">
      <c r="A22" s="33">
        <f t="shared" si="1"/>
        <v>46242</v>
      </c>
      <c r="B22" s="37">
        <f>IF(A22="","",SUMIFS(ChiTieu!$E:$E,ChiTieu!$A:$A,A22))</f>
        <v>159000</v>
      </c>
      <c r="D22" s="44" t="str">
        <f>IF(D21="","",IF(EDATE(D21,1)&lt;=EOMONTH(MAX(ChiTieu!$A$2:$A$1003),-1)+1,EDATE(D21,1),""))</f>
        <v/>
      </c>
      <c r="E22" s="50" t="str">
        <f>IF(D22="","",SUMIFS(ChiTieu!$E:$E,ChiTieu!$A:$A,"&gt;="&amp;D22,ChiTieu!$A:$A,"&lt;"&amp;EDATE(D22,1)))</f>
        <v/>
      </c>
    </row>
    <row r="23" ht="15.75" customHeight="1">
      <c r="A23" s="33">
        <f t="shared" si="1"/>
        <v>46243</v>
      </c>
      <c r="B23" s="37">
        <f>IF(A23="","",SUMIFS(ChiTieu!$E:$E,ChiTieu!$A:$A,A23))</f>
        <v>102000</v>
      </c>
      <c r="D23" s="44" t="str">
        <f>IF(D22="","",IF(EDATE(D22,1)&lt;=EOMONTH(MAX(ChiTieu!$A$2:$A$1003),-1)+1,EDATE(D22,1),""))</f>
        <v/>
      </c>
      <c r="E23" s="50" t="str">
        <f>IF(D23="","",SUMIFS(ChiTieu!$E:$E,ChiTieu!$A:$A,"&gt;="&amp;D23,ChiTieu!$A:$A,"&lt;"&amp;EDATE(D23,1)))</f>
        <v/>
      </c>
    </row>
    <row r="24" ht="15.75" customHeight="1">
      <c r="A24" s="33">
        <f t="shared" si="1"/>
        <v>46244</v>
      </c>
      <c r="B24" s="37">
        <f>IF(A24="","",SUMIFS(ChiTieu!$E:$E,ChiTieu!$A:$A,A24))</f>
        <v>336000</v>
      </c>
      <c r="D24" s="44" t="str">
        <f>IF(D23="","",IF(EDATE(D23,1)&lt;=EOMONTH(MAX(ChiTieu!$A$2:$A$1003),-1)+1,EDATE(D23,1),""))</f>
        <v/>
      </c>
      <c r="E24" s="50" t="str">
        <f>IF(D24="","",SUMIFS(ChiTieu!$E:$E,ChiTieu!$A:$A,"&gt;="&amp;D24,ChiTieu!$A:$A,"&lt;"&amp;EDATE(D24,1)))</f>
        <v/>
      </c>
    </row>
    <row r="25" ht="15.75" customHeight="1">
      <c r="A25" s="33">
        <f t="shared" si="1"/>
        <v>46245</v>
      </c>
      <c r="B25" s="37">
        <f>IF(A25="","",SUMIFS(ChiTieu!$E:$E,ChiTieu!$A:$A,A25))</f>
        <v>118000</v>
      </c>
      <c r="D25" s="44" t="str">
        <f>IF(D24="","",IF(EDATE(D24,1)&lt;=EOMONTH(MAX(ChiTieu!$A$2:$A$1003),-1)+1,EDATE(D24,1),""))</f>
        <v/>
      </c>
      <c r="E25" s="50" t="str">
        <f>IF(D25="","",SUMIFS(ChiTieu!$E:$E,ChiTieu!$A:$A,"&gt;="&amp;D25,ChiTieu!$A:$A,"&lt;"&amp;EDATE(D25,1)))</f>
        <v/>
      </c>
    </row>
    <row r="26" ht="15.75" customHeight="1">
      <c r="A26" s="33">
        <f t="shared" si="1"/>
        <v>46246</v>
      </c>
      <c r="B26" s="37">
        <f>IF(A26="","",SUMIFS(ChiTieu!$E:$E,ChiTieu!$A:$A,A26))</f>
        <v>164000</v>
      </c>
      <c r="D26" s="44" t="str">
        <f>IF(D25="","",IF(EDATE(D25,1)&lt;=EOMONTH(MAX(ChiTieu!$A$2:$A$1003),-1)+1,EDATE(D25,1),""))</f>
        <v/>
      </c>
      <c r="E26" s="50" t="str">
        <f>IF(D26="","",SUMIFS(ChiTieu!$E:$E,ChiTieu!$A:$A,"&gt;="&amp;D26,ChiTieu!$A:$A,"&lt;"&amp;EDATE(D26,1)))</f>
        <v/>
      </c>
    </row>
    <row r="27" ht="15.75" customHeight="1">
      <c r="A27" s="33">
        <f t="shared" si="1"/>
        <v>46247</v>
      </c>
      <c r="B27" s="37">
        <f>IF(A27="","",SUMIFS(ChiTieu!$E:$E,ChiTieu!$A:$A,A27))</f>
        <v>116000</v>
      </c>
      <c r="D27" s="44" t="str">
        <f>IF(D26="","",IF(EDATE(D26,1)&lt;=EOMONTH(MAX(ChiTieu!$A$2:$A$1003),-1)+1,EDATE(D26,1),""))</f>
        <v/>
      </c>
      <c r="E27" s="50" t="str">
        <f>IF(D27="","",SUMIFS(ChiTieu!$E:$E,ChiTieu!$A:$A,"&gt;="&amp;D27,ChiTieu!$A:$A,"&lt;"&amp;EDATE(D27,1)))</f>
        <v/>
      </c>
    </row>
    <row r="28" ht="15.75" customHeight="1">
      <c r="A28" s="33">
        <f t="shared" si="1"/>
        <v>46248</v>
      </c>
      <c r="B28" s="37">
        <f>IF(A28="","",SUMIFS(ChiTieu!$E:$E,ChiTieu!$A:$A,A28))</f>
        <v>152000</v>
      </c>
      <c r="D28" s="44" t="str">
        <f>IF(D27="","",IF(EDATE(D27,1)&lt;=EOMONTH(MAX(ChiTieu!$A$2:$A$1003),-1)+1,EDATE(D27,1),""))</f>
        <v/>
      </c>
      <c r="E28" s="50" t="str">
        <f>IF(D28="","",SUMIFS(ChiTieu!$E:$E,ChiTieu!$A:$A,"&gt;="&amp;D28,ChiTieu!$A:$A,"&lt;"&amp;EDATE(D28,1)))</f>
        <v/>
      </c>
    </row>
    <row r="29" ht="15.75" customHeight="1">
      <c r="A29" s="33">
        <f t="shared" si="1"/>
        <v>46249</v>
      </c>
      <c r="B29" s="37">
        <f>IF(A29="","",SUMIFS(ChiTieu!$E:$E,ChiTieu!$A:$A,A29))</f>
        <v>40000</v>
      </c>
      <c r="D29" s="44" t="str">
        <f>IF(D28="","",IF(EDATE(D28,1)&lt;=EOMONTH(MAX(ChiTieu!$A$2:$A$1003),-1)+1,EDATE(D28,1),""))</f>
        <v/>
      </c>
      <c r="E29" s="50" t="str">
        <f>IF(D29="","",SUMIFS(ChiTieu!$E:$E,ChiTieu!$A:$A,"&gt;="&amp;D29,ChiTieu!$A:$A,"&lt;"&amp;EDATE(D29,1)))</f>
        <v/>
      </c>
    </row>
    <row r="30" ht="15.75" customHeight="1">
      <c r="A30" s="33">
        <f t="shared" si="1"/>
        <v>46250</v>
      </c>
      <c r="B30" s="37">
        <f>IF(A30="","",SUMIFS(ChiTieu!$E:$E,ChiTieu!$A:$A,A30))</f>
        <v>100000</v>
      </c>
      <c r="D30" s="44" t="str">
        <f>IF(D29="","",IF(EDATE(D29,1)&lt;=EOMONTH(MAX(ChiTieu!$A$2:$A$1003),-1)+1,EDATE(D29,1),""))</f>
        <v/>
      </c>
      <c r="E30" s="50" t="str">
        <f>IF(D30="","",SUMIFS(ChiTieu!$E:$E,ChiTieu!$A:$A,"&gt;="&amp;D30,ChiTieu!$A:$A,"&lt;"&amp;EDATE(D30,1)))</f>
        <v/>
      </c>
    </row>
    <row r="31" ht="15.75" customHeight="1">
      <c r="A31" s="33">
        <f t="shared" si="1"/>
        <v>46251</v>
      </c>
      <c r="B31" s="37">
        <f>IF(A31="","",SUMIFS(ChiTieu!$E:$E,ChiTieu!$A:$A,A31))</f>
        <v>296000</v>
      </c>
      <c r="D31" s="44" t="str">
        <f>IF(D30="","",IF(EDATE(D30,1)&lt;=EOMONTH(MAX(ChiTieu!$A$2:$A$1003),-1)+1,EDATE(D30,1),""))</f>
        <v/>
      </c>
      <c r="E31" s="50" t="str">
        <f>IF(D31="","",SUMIFS(ChiTieu!$E:$E,ChiTieu!$A:$A,"&gt;="&amp;D31,ChiTieu!$A:$A,"&lt;"&amp;EDATE(D31,1)))</f>
        <v/>
      </c>
    </row>
    <row r="32" ht="15.75" customHeight="1">
      <c r="A32" s="33">
        <f t="shared" si="1"/>
        <v>46252</v>
      </c>
      <c r="B32" s="37">
        <f>IF(A32="","",SUMIFS(ChiTieu!$E:$E,ChiTieu!$A:$A,A32))</f>
        <v>118000</v>
      </c>
      <c r="D32" s="44" t="str">
        <f>IF(D31="","",IF(EDATE(D31,1)&lt;=EOMONTH(MAX(ChiTieu!$A$2:$A$1003),-1)+1,EDATE(D31,1),""))</f>
        <v/>
      </c>
      <c r="E32" s="50" t="str">
        <f>IF(D32="","",SUMIFS(ChiTieu!$E:$E,ChiTieu!$A:$A,"&gt;="&amp;D32,ChiTieu!$A:$A,"&lt;"&amp;EDATE(D32,1)))</f>
        <v/>
      </c>
    </row>
    <row r="33" ht="15.75" customHeight="1">
      <c r="A33" s="33">
        <f t="shared" si="1"/>
        <v>46253</v>
      </c>
      <c r="B33" s="37">
        <f>IF(A33="","",SUMIFS(ChiTieu!$E:$E,ChiTieu!$A:$A,A33))</f>
        <v>131000</v>
      </c>
      <c r="D33" s="44" t="str">
        <f>IF(D32="","",IF(EDATE(D32,1)&lt;=EOMONTH(MAX(ChiTieu!$A$2:$A$1003),-1)+1,EDATE(D32,1),""))</f>
        <v/>
      </c>
      <c r="E33" s="50" t="str">
        <f>IF(D33="","",SUMIFS(ChiTieu!$E:$E,ChiTieu!$A:$A,"&gt;="&amp;D33,ChiTieu!$A:$A,"&lt;"&amp;EDATE(D33,1)))</f>
        <v/>
      </c>
    </row>
    <row r="34" ht="15.75" customHeight="1">
      <c r="A34" s="33">
        <f t="shared" si="1"/>
        <v>46254</v>
      </c>
      <c r="B34" s="37">
        <f>IF(A34="","",SUMIFS(ChiTieu!$E:$E,ChiTieu!$A:$A,A34))</f>
        <v>0</v>
      </c>
      <c r="D34" s="44" t="str">
        <f>IF(D33="","",IF(EDATE(D33,1)&lt;=EOMONTH(MAX(ChiTieu!$A$2:$A$1003),-1)+1,EDATE(D33,1),""))</f>
        <v/>
      </c>
      <c r="E34" s="50" t="str">
        <f>IF(D34="","",SUMIFS(ChiTieu!$E:$E,ChiTieu!$A:$A,"&gt;="&amp;D34,ChiTieu!$A:$A,"&lt;"&amp;EDATE(D34,1)))</f>
        <v/>
      </c>
    </row>
    <row r="35" ht="15.75" customHeight="1">
      <c r="A35" s="79">
        <f t="shared" si="1"/>
        <v>46255</v>
      </c>
      <c r="B35" s="80">
        <f>IF(A35="","",SUMIFS(ChiTieu!$E:$E,ChiTieu!$A:$A,A35))</f>
        <v>0</v>
      </c>
      <c r="D35" s="44" t="str">
        <f>IF(D34="","",IF(EDATE(D34,1)&lt;=EOMONTH(MAX(ChiTieu!$A$2:$A$1003),-1)+1,EDATE(D34,1),""))</f>
        <v/>
      </c>
      <c r="E35" s="50" t="str">
        <f>IF(D35="","",SUMIFS(ChiTieu!$E:$E,ChiTieu!$A:$A,"&gt;="&amp;D35,ChiTieu!$A:$A,"&lt;"&amp;EDATE(D35,1)))</f>
        <v/>
      </c>
    </row>
    <row r="36" ht="15.75" customHeight="1">
      <c r="D36" s="82" t="str">
        <f>IF(D35="","",IF(EDATE(D35,1)&lt;=EOMONTH(MAX(ChiTieu!$A$2:$A$1003),-1)+1,EDATE(D35,1),""))</f>
        <v/>
      </c>
      <c r="E36" s="83" t="str">
        <f>IF(D36="","",SUMIFS(ChiTieu!$E:$E,ChiTieu!$A:$A,"&gt;="&amp;D36,ChiTieu!$A:$A,"&lt;"&amp;EDATE(D36,1)))</f>
        <v/>
      </c>
    </row>
    <row r="37" ht="15.75" customHeight="1">
      <c r="D37" s="82" t="str">
        <f>IF(D36="","",IF(EDATE(D36,1)&lt;=EOMONTH(MAX(ChiTieu!$A$2:$A$1003),-1)+1,EDATE(D36,1),""))</f>
        <v/>
      </c>
      <c r="E37" s="83" t="str">
        <f>IF(D37="","",SUMIFS(ChiTieu!$E:$E,ChiTieu!$A:$A,"&gt;="&amp;D37,ChiTieu!$A:$A,"&lt;"&amp;EDATE(D37,1)))</f>
        <v/>
      </c>
    </row>
    <row r="38" ht="15.75" customHeight="1">
      <c r="D38" s="82" t="str">
        <f>IF(D37="","",IF(EDATE(D37,1)&lt;=EOMONTH(MAX(ChiTieu!$A$2:$A$1003),-1)+1,EDATE(D37,1),""))</f>
        <v/>
      </c>
      <c r="E38" s="83" t="str">
        <f>IF(D38="","",SUMIFS(ChiTieu!$E:$E,ChiTieu!$A:$A,"&gt;="&amp;D38,ChiTieu!$A:$A,"&lt;"&amp;EDATE(D38,1)))</f>
        <v/>
      </c>
    </row>
    <row r="39" ht="15.75" customHeight="1">
      <c r="D39" s="82" t="str">
        <f>IF(D38="","",IF(EDATE(D38,1)&lt;=EOMONTH(MAX(ChiTieu!$A$2:$A$1003),-1)+1,EDATE(D38,1),""))</f>
        <v/>
      </c>
      <c r="E39" s="83" t="str">
        <f>IF(D39="","",SUMIFS(ChiTieu!$E:$E,ChiTieu!$A:$A,"&gt;="&amp;D39,ChiTieu!$A:$A,"&lt;"&amp;EDATE(D39,1)))</f>
        <v/>
      </c>
    </row>
    <row r="40" ht="15.75" customHeight="1">
      <c r="D40" s="82" t="str">
        <f>IF(D39="","",IF(EDATE(D39,1)&lt;=EOMONTH(MAX(ChiTieu!$A$2:$A$1003),-1)+1,EDATE(D39,1),""))</f>
        <v/>
      </c>
      <c r="E40" s="83" t="str">
        <f>IF(D40="","",SUMIFS(ChiTieu!$E:$E,ChiTieu!$A:$A,"&gt;="&amp;D40,ChiTieu!$A:$A,"&lt;"&amp;EDATE(D40,1)))</f>
        <v/>
      </c>
    </row>
    <row r="41" ht="15.75" customHeight="1">
      <c r="D41" s="82" t="str">
        <f>IF(D40="","",IF(EDATE(D40,1)&lt;=EOMONTH(MAX(ChiTieu!$A$2:$A$1003),-1)+1,EDATE(D40,1),""))</f>
        <v/>
      </c>
      <c r="E41" s="84" t="str">
        <f>IF(D41="","",SUMIFS(ChiTieu!$E:$E,ChiTieu!$A:$A,"&gt;="&amp;D41,ChiTieu!$A:$A,"&lt;"&amp;EDATE(D41,1)))</f>
        <v/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ustomSheetViews>
    <customSheetView guid="{69FB9DC0-E09B-4805-B884-5FF2B39EA250}" filter="1" showAutoFilter="1">
      <autoFilter ref="$A$4:$E$35">
        <filterColumn colId="1">
          <customFilters>
            <customFilter operator="greaterThan" val="0"/>
          </customFilters>
        </filterColumn>
      </autoFilter>
    </customSheetView>
  </customSheetViews>
  <dataValidations>
    <dataValidation type="custom" allowBlank="1" showDropDown="1" sqref="A5:A35">
      <formula1>OR(NOT(ISERROR(DATEVALUE(A5))), AND(ISNUMBER(A5), LEFT(CELL("format", A5))="D"))</formula1>
    </dataValidation>
    <dataValidation type="custom" allowBlank="1" showDropDown="1" sqref="B5:B35">
      <formula1>AND(ISNUMBER(B5),(NOT(OR(NOT(ISERROR(DATEVALUE(B5))), AND(ISNUMBER(B5), LEFT(CELL("format", B5))="D")))))</formula1>
    </dataValidation>
  </dataValidations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1.43"/>
    <col customWidth="1" min="2" max="2" width="8.86"/>
    <col customWidth="1" min="3" max="3" width="15.86"/>
    <col customWidth="1" min="4" max="4" width="14.57"/>
    <col customWidth="1" min="5" max="5" width="36.57"/>
    <col customWidth="1" min="6" max="6" width="8.43"/>
    <col customWidth="1" min="7" max="7" width="14.86"/>
    <col customWidth="1" min="8" max="8" width="14.14"/>
    <col customWidth="1" min="9" max="9" width="34.57"/>
    <col customWidth="1" min="10" max="10" width="11.29"/>
    <col customWidth="1" min="11" max="11" width="10.0"/>
    <col customWidth="1" min="12" max="26" width="8.71"/>
  </cols>
  <sheetData>
    <row r="1" ht="15.75" customHeight="1">
      <c r="A1" s="2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15.75" customHeight="1">
      <c r="A2" s="6" t="s">
        <v>11</v>
      </c>
      <c r="B2" s="7">
        <v>46225.0</v>
      </c>
      <c r="D2" s="6" t="s">
        <v>12</v>
      </c>
      <c r="E2" s="13">
        <f>SUMIFS(ChiTieu!E:E,ChiTieu!A:A,"&gt;="&amp;$B$2,ChiTieu!A:A,"&lt;"&amp;EDATE($B$2,1))</f>
        <v>6950157</v>
      </c>
      <c r="G2" s="6" t="s">
        <v>21</v>
      </c>
      <c r="H2" s="13">
        <f>SUMIFS(ChiTieu!E:E,ChiTieu!A:A,"&gt;="&amp;EDATE($B$2,-1),ChiTieu!A:A,"&lt;"&amp;$B$2)</f>
        <v>0</v>
      </c>
      <c r="J2" s="6" t="s">
        <v>29</v>
      </c>
      <c r="K2" s="22">
        <f>IF(H2=0,IF(E2=0,0,1),E2/H2-1)</f>
        <v>1</v>
      </c>
    </row>
    <row r="3" ht="15.75" customHeight="1"/>
    <row r="4" ht="15.75" customHeight="1">
      <c r="A4" s="24" t="s">
        <v>43</v>
      </c>
      <c r="B4" s="29">
        <f>COUNTIFS(ChiTieu!A:A,"&gt;="&amp;$B$2,ChiTieu!A:A,"&lt;"&amp;EDATE($B$2,1))</f>
        <v>150</v>
      </c>
      <c r="D4" s="24" t="s">
        <v>52</v>
      </c>
      <c r="E4" s="32">
        <f>IFERROR(E2/B4,0)</f>
        <v>46334.38</v>
      </c>
      <c r="G4" s="24" t="s">
        <v>56</v>
      </c>
      <c r="H4" s="32">
        <f>IFERROR(MAXIFS(ChiTieu!E:E,ChiTieu!A:A,"&gt;="&amp;$B$2,ChiTieu!A:A,"&lt;"&amp;EDATE($B$2,1)),0)</f>
        <v>1306195</v>
      </c>
      <c r="J4" s="24" t="s">
        <v>59</v>
      </c>
      <c r="K4" s="34" t="str">
        <f t="array" ref="K4">IFERROR(INDEX($E$22:$E$27,MATCH(MAX($F$22:$F$27),$F$22:$F$27,0)),"—")</f>
        <v>Bản thân</v>
      </c>
    </row>
    <row r="5" ht="15.75" customHeight="1"/>
    <row r="6" ht="15.75" customHeight="1">
      <c r="A6" s="36" t="s">
        <v>62</v>
      </c>
      <c r="B6" s="38"/>
      <c r="C6" s="38"/>
      <c r="E6" s="39" t="s">
        <v>69</v>
      </c>
      <c r="F6" s="40"/>
      <c r="G6" s="40"/>
      <c r="I6" s="41" t="s">
        <v>73</v>
      </c>
      <c r="J6" s="42"/>
    </row>
    <row r="7" ht="15.75" customHeight="1">
      <c r="A7" s="45" t="s">
        <v>0</v>
      </c>
      <c r="B7" s="45" t="s">
        <v>27</v>
      </c>
      <c r="C7" s="45" t="s">
        <v>74</v>
      </c>
      <c r="E7" s="47" t="s">
        <v>4</v>
      </c>
      <c r="F7" s="47" t="s">
        <v>0</v>
      </c>
      <c r="G7" s="47" t="s">
        <v>27</v>
      </c>
      <c r="I7" s="49" t="s">
        <v>4</v>
      </c>
      <c r="J7" s="49" t="s">
        <v>75</v>
      </c>
    </row>
    <row r="8" ht="15.75" customHeight="1">
      <c r="A8" s="3" t="str">
        <f>DanhMuc!A2</f>
        <v>Ăn sáng</v>
      </c>
      <c r="B8" s="52">
        <f>SUMIFS(ChiTieu!E:E,ChiTieu!B:B,A8,ChiTieu!A:A,"&gt;="&amp;$B$2,ChiTieu!A:A,"&lt;"&amp;EDATE($B$2,1))</f>
        <v>710000</v>
      </c>
      <c r="C8" s="53" t="str">
        <f t="shared" ref="C8:C23" si="1">IF(OR(B8=0,MAX($B$8:$B$23)=0),"",REPT("█",MAX(1,ROUND(B8/MAX($B$8:$B$23)*18,0))))</f>
        <v>███████████</v>
      </c>
      <c r="E8" s="3" t="str">
        <f t="array" ref="E8">IFERROR(INDEX(ChiTieu!$D$2:$D$1003,MATCH(ROWS($E$8:E8),ChiTieu!$J$2:$J$1003,0)),"")</f>
        <v/>
      </c>
      <c r="F8" s="3" t="str">
        <f t="array" ref="F8">IF(E8="","",INDEX(ChiTieu!$B$2:$B$1003,MATCH(ROWS($E$8:E8),ChiTieu!$J$2:$J$1003,0)))</f>
        <v/>
      </c>
      <c r="G8" s="52" t="str">
        <f t="array" ref="G8">IF(E8="","",INDEX(ChiTieu!$E$2:$E$1003,MATCH(ROWS($E$8:E8),ChiTieu!$J$2:$J$1003,0)))</f>
        <v/>
      </c>
      <c r="I8" s="3" t="str">
        <f t="array" ref="I8">IFERROR(INDEX(DanhMuc!$D$2:$D$100,MATCH(ROWS($I$8:I8),DanhMuc!$F$2:$F$100,0)),"")</f>
        <v>Cơm</v>
      </c>
      <c r="J8" s="56">
        <f>IF(I8="","",SUMIF(DanhMuc!$D$2:$D$100,I8,DanhMuc!$E$2:$E$100))</f>
        <v>27</v>
      </c>
    </row>
    <row r="9" ht="15.75" customHeight="1">
      <c r="A9" s="3" t="str">
        <f>DanhMuc!A3</f>
        <v>Ăn trưa</v>
      </c>
      <c r="B9" s="52">
        <f>SUMIFS(ChiTieu!E:E,ChiTieu!B:B,A9,ChiTieu!A:A,"&gt;="&amp;$B$2,ChiTieu!A:A,"&lt;"&amp;EDATE($B$2,1))</f>
        <v>552000</v>
      </c>
      <c r="C9" s="53" t="str">
        <f t="shared" si="1"/>
        <v>█████████</v>
      </c>
      <c r="E9" s="3" t="str">
        <f t="array" ref="E9">IFERROR(INDEX(ChiTieu!$D$2:$D$1003,MATCH(ROWS($E$8:E9),ChiTieu!$J$2:$J$1003,0)),"")</f>
        <v/>
      </c>
      <c r="F9" s="3" t="str">
        <f t="array" ref="F9">IF(E9="","",INDEX(ChiTieu!$B$2:$B$1003,MATCH(ROWS($E$8:E9),ChiTieu!$J$2:$J$1003,0)))</f>
        <v/>
      </c>
      <c r="G9" s="52" t="str">
        <f t="array" ref="G9">IF(E9="","",INDEX(ChiTieu!$E$2:$E$1003,MATCH(ROWS($E$8:E9),ChiTieu!$J$2:$J$1003,0)))</f>
        <v/>
      </c>
      <c r="I9" s="3" t="str">
        <f t="array" ref="I9">IFERROR(INDEX(DanhMuc!$D$2:$D$100,MATCH(ROWS($I$8:I9),DanhMuc!$F$2:$F$100,0)),"")</f>
        <v>Vé số</v>
      </c>
      <c r="J9" s="56">
        <f>IF(I9="","",SUMIF(DanhMuc!$D$2:$D$100,I9,DanhMuc!$E$2:$E$100))</f>
        <v>20</v>
      </c>
    </row>
    <row r="10" ht="15.75" customHeight="1">
      <c r="A10" s="3" t="str">
        <f>DanhMuc!A4</f>
        <v>Ăn tối</v>
      </c>
      <c r="B10" s="52">
        <f>SUMIFS(ChiTieu!E:E,ChiTieu!B:B,A10,ChiTieu!A:A,"&gt;="&amp;$B$2,ChiTieu!A:A,"&lt;"&amp;EDATE($B$2,1))</f>
        <v>509000</v>
      </c>
      <c r="C10" s="53" t="str">
        <f t="shared" si="1"/>
        <v>████████</v>
      </c>
      <c r="E10" s="3" t="str">
        <f t="array" ref="E10">IFERROR(INDEX(ChiTieu!$D$2:$D$1003,MATCH(ROWS($E$8:E10),ChiTieu!$J$2:$J$1003,0)),"")</f>
        <v/>
      </c>
      <c r="F10" s="3" t="str">
        <f t="array" ref="F10">IF(E10="","",INDEX(ChiTieu!$B$2:$B$1003,MATCH(ROWS($E$8:E10),ChiTieu!$J$2:$J$1003,0)))</f>
        <v/>
      </c>
      <c r="G10" s="52" t="str">
        <f t="array" ref="G10">IF(E10="","",INDEX(ChiTieu!$E$2:$E$1003,MATCH(ROWS($E$8:E10),ChiTieu!$J$2:$J$1003,0)))</f>
        <v/>
      </c>
      <c r="I10" s="3" t="str">
        <f t="array" ref="I10">IFERROR(INDEX(DanhMuc!$D$2:$D$100,MATCH(ROWS($I$8:I10),DanhMuc!$F$2:$F$100,0)),"")</f>
        <v>Cà phê sữa</v>
      </c>
      <c r="J10" s="56">
        <f>IF(I10="","",SUMIF(DanhMuc!$D$2:$D$100,I10,DanhMuc!$E$2:$E$100))</f>
        <v>8</v>
      </c>
    </row>
    <row r="11" ht="15.75" customHeight="1">
      <c r="A11" s="3" t="str">
        <f>DanhMuc!A5</f>
        <v>Ăn vặt</v>
      </c>
      <c r="B11" s="52">
        <f>SUMIFS(ChiTieu!E:E,ChiTieu!B:B,A11,ChiTieu!A:A,"&gt;="&amp;$B$2,ChiTieu!A:A,"&lt;"&amp;EDATE($B$2,1))</f>
        <v>0</v>
      </c>
      <c r="C11" s="53" t="str">
        <f t="shared" si="1"/>
        <v/>
      </c>
      <c r="E11" s="3" t="str">
        <f t="array" ref="E11">IFERROR(INDEX(ChiTieu!$D$2:$D$1003,MATCH(ROWS($E$8:E11),ChiTieu!$J$2:$J$1003,0)),"")</f>
        <v/>
      </c>
      <c r="F11" s="3" t="str">
        <f t="array" ref="F11">IF(E11="","",INDEX(ChiTieu!$B$2:$B$1003,MATCH(ROWS($E$8:E11),ChiTieu!$J$2:$J$1003,0)))</f>
        <v/>
      </c>
      <c r="G11" s="52" t="str">
        <f t="array" ref="G11">IF(E11="","",INDEX(ChiTieu!$E$2:$E$1003,MATCH(ROWS($E$8:E11),ChiTieu!$J$2:$J$1003,0)))</f>
        <v/>
      </c>
      <c r="I11" s="3" t="str">
        <f t="array" ref="I11">IFERROR(INDEX(DanhMuc!$D$2:$D$100,MATCH(ROWS($I$8:I11),DanhMuc!$F$2:$F$100,0)),"")</f>
        <v>Vietlott</v>
      </c>
      <c r="J11" s="56">
        <f>IF(I11="","",SUMIF(DanhMuc!$D$2:$D$100,I11,DanhMuc!$E$2:$E$100))</f>
        <v>2</v>
      </c>
    </row>
    <row r="12" ht="15.75" customHeight="1">
      <c r="A12" s="3" t="str">
        <f>DanhMuc!A6</f>
        <v>Cafe</v>
      </c>
      <c r="B12" s="52">
        <f>SUMIFS(ChiTieu!E:E,ChiTieu!B:B,A12,ChiTieu!A:A,"&gt;="&amp;$B$2,ChiTieu!A:A,"&lt;"&amp;EDATE($B$2,1))</f>
        <v>481000</v>
      </c>
      <c r="C12" s="53" t="str">
        <f t="shared" si="1"/>
        <v>████████</v>
      </c>
      <c r="E12" s="3" t="str">
        <f t="array" ref="E12">IFERROR(INDEX(ChiTieu!$D$2:$D$1003,MATCH(ROWS($E$8:E12),ChiTieu!$J$2:$J$1003,0)),"")</f>
        <v/>
      </c>
      <c r="F12" s="3" t="str">
        <f t="array" ref="F12">IF(E12="","",INDEX(ChiTieu!$B$2:$B$1003,MATCH(ROWS($E$8:E12),ChiTieu!$J$2:$J$1003,0)))</f>
        <v/>
      </c>
      <c r="G12" s="52" t="str">
        <f t="array" ref="G12">IF(E12="","",INDEX(ChiTieu!$E$2:$E$1003,MATCH(ROWS($E$8:E12),ChiTieu!$J$2:$J$1003,0)))</f>
        <v/>
      </c>
      <c r="I12" s="3" t="str">
        <f t="array" ref="I12">IFERROR(INDEX(DanhMuc!$D$2:$D$100,MATCH(ROWS($I$8:I12),DanhMuc!$F$2:$F$100,0)),"")</f>
        <v>Mì Quảng</v>
      </c>
      <c r="J12" s="56">
        <f>IF(I12="","",SUMIF(DanhMuc!$D$2:$D$100,I12,DanhMuc!$E$2:$E$100))</f>
        <v>1</v>
      </c>
    </row>
    <row r="13" ht="15.75" customHeight="1">
      <c r="A13" s="3" t="str">
        <f>DanhMuc!A7</f>
        <v>Đồ uống</v>
      </c>
      <c r="B13" s="52">
        <f>SUMIFS(ChiTieu!E:E,ChiTieu!B:B,A13,ChiTieu!A:A,"&gt;="&amp;$B$2,ChiTieu!A:A,"&lt;"&amp;EDATE($B$2,1))</f>
        <v>396000</v>
      </c>
      <c r="C13" s="53" t="str">
        <f t="shared" si="1"/>
        <v>██████</v>
      </c>
      <c r="E13" s="3" t="str">
        <f t="array" ref="E13">IFERROR(INDEX(ChiTieu!$D$2:$D$1003,MATCH(ROWS($E$8:E13),ChiTieu!$J$2:$J$1003,0)),"")</f>
        <v/>
      </c>
      <c r="F13" s="3" t="str">
        <f t="array" ref="F13">IF(E13="","",INDEX(ChiTieu!$B$2:$B$1003,MATCH(ROWS($E$8:E13),ChiTieu!$J$2:$J$1003,0)))</f>
        <v/>
      </c>
      <c r="G13" s="52" t="str">
        <f t="array" ref="G13">IF(E13="","",INDEX(ChiTieu!$E$2:$E$1003,MATCH(ROWS($E$8:E13),ChiTieu!$J$2:$J$1003,0)))</f>
        <v/>
      </c>
      <c r="I13" s="3" t="str">
        <f t="array" ref="I13">IFERROR(INDEX(DanhMuc!$D$2:$D$100,MATCH(ROWS($I$8:I13),DanhMuc!$F$2:$F$100,0)),"")</f>
        <v>Kem</v>
      </c>
      <c r="J13" s="56">
        <f>IF(I13="","",SUMIF(DanhMuc!$D$2:$D$100,I13,DanhMuc!$E$2:$E$100))</f>
        <v>1</v>
      </c>
    </row>
    <row r="14" ht="15.75" customHeight="1">
      <c r="A14" s="3" t="str">
        <f>DanhMuc!A8</f>
        <v>Gia đình</v>
      </c>
      <c r="B14" s="52">
        <f>SUMIFS(ChiTieu!E:E,ChiTieu!B:B,A14,ChiTieu!A:A,"&gt;="&amp;$B$2,ChiTieu!A:A,"&lt;"&amp;EDATE($B$2,1))</f>
        <v>0</v>
      </c>
      <c r="C14" s="53" t="str">
        <f t="shared" si="1"/>
        <v/>
      </c>
      <c r="E14" s="3" t="str">
        <f t="array" ref="E14">IFERROR(INDEX(ChiTieu!$D$2:$D$1003,MATCH(ROWS($E$8:E14),ChiTieu!$J$2:$J$1003,0)),"")</f>
        <v/>
      </c>
      <c r="F14" s="3" t="str">
        <f t="array" ref="F14">IF(E14="","",INDEX(ChiTieu!$B$2:$B$1003,MATCH(ROWS($E$8:E14),ChiTieu!$J$2:$J$1003,0)))</f>
        <v/>
      </c>
      <c r="G14" s="52" t="str">
        <f t="array" ref="G14">IF(E14="","",INDEX(ChiTieu!$E$2:$E$1003,MATCH(ROWS($E$8:E14),ChiTieu!$J$2:$J$1003,0)))</f>
        <v/>
      </c>
      <c r="I14" s="3" t="str">
        <f t="array" ref="I14">IFERROR(INDEX(DanhMuc!$D$2:$D$100,MATCH(ROWS($I$8:I14),DanhMuc!$F$2:$F$100,0)),"")</f>
        <v/>
      </c>
      <c r="J14" s="56" t="str">
        <f>IF(I14="","",SUMIF(DanhMuc!$D$2:$D$100,I14,DanhMuc!$E$2:$E$100))</f>
        <v/>
      </c>
    </row>
    <row r="15" ht="15.75" customHeight="1">
      <c r="A15" s="3" t="str">
        <f>DanhMuc!A9</f>
        <v>Di chuyển</v>
      </c>
      <c r="B15" s="52">
        <f>SUMIFS(ChiTieu!E:E,ChiTieu!B:B,A15,ChiTieu!A:A,"&gt;="&amp;$B$2,ChiTieu!A:A,"&lt;"&amp;EDATE($B$2,1))</f>
        <v>1125000</v>
      </c>
      <c r="C15" s="53" t="str">
        <f t="shared" si="1"/>
        <v>██████████████████</v>
      </c>
      <c r="E15" s="3" t="str">
        <f t="array" ref="E15">IFERROR(INDEX(ChiTieu!$D$2:$D$1003,MATCH(ROWS($E$8:E15),ChiTieu!$J$2:$J$1003,0)),"")</f>
        <v/>
      </c>
      <c r="F15" s="3" t="str">
        <f t="array" ref="F15">IF(E15="","",INDEX(ChiTieu!$B$2:$B$1003,MATCH(ROWS($E$8:E15),ChiTieu!$J$2:$J$1003,0)))</f>
        <v/>
      </c>
      <c r="G15" s="52" t="str">
        <f t="array" ref="G15">IF(E15="","",INDEX(ChiTieu!$E$2:$E$1003,MATCH(ROWS($E$8:E15),ChiTieu!$J$2:$J$1003,0)))</f>
        <v/>
      </c>
      <c r="I15" s="3" t="str">
        <f t="array" ref="I15">IFERROR(INDEX(DanhMuc!$D$2:$D$100,MATCH(ROWS($I$8:I15),DanhMuc!$F$2:$F$100,0)),"")</f>
        <v/>
      </c>
      <c r="J15" s="56" t="str">
        <f>IF(I15="","",SUMIF(DanhMuc!$D$2:$D$100,I15,DanhMuc!$E$2:$E$100))</f>
        <v/>
      </c>
    </row>
    <row r="16" ht="15.75" customHeight="1">
      <c r="A16" s="3" t="str">
        <f>DanhMuc!A10</f>
        <v>Mua sắm</v>
      </c>
      <c r="B16" s="52">
        <f>SUMIFS(ChiTieu!E:E,ChiTieu!B:B,A16,ChiTieu!A:A,"&gt;="&amp;$B$2,ChiTieu!A:A,"&lt;"&amp;EDATE($B$2,1))</f>
        <v>0</v>
      </c>
      <c r="C16" s="53" t="str">
        <f t="shared" si="1"/>
        <v/>
      </c>
      <c r="E16" s="3" t="str">
        <f t="array" ref="E16">IFERROR(INDEX(ChiTieu!$D$2:$D$1003,MATCH(ROWS($E$8:E16),ChiTieu!$J$2:$J$1003,0)),"")</f>
        <v/>
      </c>
      <c r="F16" s="3" t="str">
        <f t="array" ref="F16">IF(E16="","",INDEX(ChiTieu!$B$2:$B$1003,MATCH(ROWS($E$8:E16),ChiTieu!$J$2:$J$1003,0)))</f>
        <v/>
      </c>
      <c r="G16" s="52" t="str">
        <f t="array" ref="G16">IF(E16="","",INDEX(ChiTieu!$E$2:$E$1003,MATCH(ROWS($E$8:E16),ChiTieu!$J$2:$J$1003,0)))</f>
        <v/>
      </c>
      <c r="I16" s="3" t="str">
        <f t="array" ref="I16">IFERROR(INDEX(DanhMuc!$D$2:$D$100,MATCH(ROWS($I$8:I16),DanhMuc!$F$2:$F$100,0)),"")</f>
        <v/>
      </c>
      <c r="J16" s="56" t="str">
        <f>IF(I16="","",SUMIF(DanhMuc!$D$2:$D$100,I16,DanhMuc!$E$2:$E$100))</f>
        <v/>
      </c>
    </row>
    <row r="17" ht="15.75" customHeight="1">
      <c r="A17" s="3" t="str">
        <f>DanhMuc!A11</f>
        <v>Vật tư</v>
      </c>
      <c r="B17" s="52">
        <f>SUMIFS(ChiTieu!E:E,ChiTieu!B:B,A17,ChiTieu!A:A,"&gt;="&amp;$B$2,ChiTieu!A:A,"&lt;"&amp;EDATE($B$2,1))</f>
        <v>0</v>
      </c>
      <c r="C17" s="53" t="str">
        <f t="shared" si="1"/>
        <v/>
      </c>
      <c r="E17" s="3" t="str">
        <f t="array" ref="E17">IFERROR(INDEX(ChiTieu!$D$2:$D$1003,MATCH(ROWS($E$8:E17),ChiTieu!$J$2:$J$1003,0)),"")</f>
        <v/>
      </c>
      <c r="F17" s="3" t="str">
        <f t="array" ref="F17">IF(E17="","",INDEX(ChiTieu!$B$2:$B$1003,MATCH(ROWS($E$8:E17),ChiTieu!$J$2:$J$1003,0)))</f>
        <v/>
      </c>
      <c r="G17" s="52" t="str">
        <f t="array" ref="G17">IF(E17="","",INDEX(ChiTieu!$E$2:$E$1003,MATCH(ROWS($E$8:E17),ChiTieu!$J$2:$J$1003,0)))</f>
        <v/>
      </c>
      <c r="I17" s="3" t="str">
        <f t="array" ref="I17">IFERROR(INDEX(DanhMuc!$D$2:$D$100,MATCH(ROWS($I$8:I17),DanhMuc!$F$2:$F$100,0)),"")</f>
        <v/>
      </c>
      <c r="J17" s="56" t="str">
        <f>IF(I17="","",SUMIF(DanhMuc!$D$2:$D$100,I17,DanhMuc!$E$2:$E$100))</f>
        <v/>
      </c>
    </row>
    <row r="18" ht="15.75" customHeight="1">
      <c r="A18" s="3" t="str">
        <f>DanhMuc!A12</f>
        <v>Công nghệ</v>
      </c>
      <c r="B18" s="52">
        <f>SUMIFS(ChiTieu!E:E,ChiTieu!B:B,A18,ChiTieu!A:A,"&gt;="&amp;$B$2,ChiTieu!A:A,"&lt;"&amp;EDATE($B$2,1))</f>
        <v>0</v>
      </c>
      <c r="C18" s="53" t="str">
        <f t="shared" si="1"/>
        <v/>
      </c>
    </row>
    <row r="19" ht="15.75" customHeight="1">
      <c r="A19" s="3" t="str">
        <f>DanhMuc!A13</f>
        <v>Giải trí</v>
      </c>
      <c r="B19" s="52">
        <f>SUMIFS(ChiTieu!E:E,ChiTieu!B:B,A19,ChiTieu!A:A,"&gt;="&amp;$B$2,ChiTieu!A:A,"&lt;"&amp;EDATE($B$2,1))</f>
        <v>0</v>
      </c>
      <c r="C19" s="53" t="str">
        <f t="shared" si="1"/>
        <v/>
      </c>
    </row>
    <row r="20" ht="15.75" customHeight="1">
      <c r="A20" s="3" t="str">
        <f>DanhMuc!A14</f>
        <v>Công việc</v>
      </c>
      <c r="B20" s="52">
        <f>SUMIFS(ChiTieu!E:E,ChiTieu!B:B,A20,ChiTieu!A:A,"&gt;="&amp;$B$2,ChiTieu!A:A,"&lt;"&amp;EDATE($B$2,1))</f>
        <v>0</v>
      </c>
      <c r="C20" s="53" t="str">
        <f t="shared" si="1"/>
        <v/>
      </c>
      <c r="E20" s="71" t="s">
        <v>118</v>
      </c>
      <c r="F20" s="72"/>
      <c r="I20" s="73" t="s">
        <v>119</v>
      </c>
      <c r="J20" s="74"/>
    </row>
    <row r="21" ht="15.75" customHeight="1">
      <c r="A21" s="3" t="str">
        <f>DanhMuc!A15</f>
        <v>Sức khỏe</v>
      </c>
      <c r="B21" s="52">
        <f>SUMIFS(ChiTieu!E:E,ChiTieu!B:B,A21,ChiTieu!A:A,"&gt;="&amp;$B$2,ChiTieu!A:A,"&lt;"&amp;EDATE($B$2,1))</f>
        <v>0</v>
      </c>
      <c r="C21" s="53" t="str">
        <f t="shared" si="1"/>
        <v/>
      </c>
      <c r="E21" s="75" t="s">
        <v>2</v>
      </c>
      <c r="F21" s="75" t="s">
        <v>27</v>
      </c>
      <c r="I21" s="76" t="s">
        <v>120</v>
      </c>
      <c r="J21" s="76" t="s">
        <v>27</v>
      </c>
    </row>
    <row r="22" ht="15.75" customHeight="1">
      <c r="A22" s="3" t="str">
        <f>DanhMuc!A16</f>
        <v>May mắn</v>
      </c>
      <c r="B22" s="52">
        <f>SUMIFS(ChiTieu!E:E,ChiTieu!B:B,A22,ChiTieu!A:A,"&gt;="&amp;$B$2,ChiTieu!A:A,"&lt;"&amp;EDATE($B$2,1))</f>
        <v>890000</v>
      </c>
      <c r="C22" s="53" t="str">
        <f t="shared" si="1"/>
        <v>██████████████</v>
      </c>
      <c r="E22" s="3" t="str">
        <f>DanhMuc!B2</f>
        <v>Bản thân</v>
      </c>
      <c r="F22" s="52">
        <f>SUMIFS(ChiTieu!E:E,ChiTieu!H:H,E22,ChiTieu!A:A,"&gt;="&amp;$B$2,ChiTieu!A:A,"&lt;"&amp;EDATE($B$2,1))</f>
        <v>3031000</v>
      </c>
      <c r="I22" s="3" t="str">
        <f>DanhMuc!C2</f>
        <v>Momo</v>
      </c>
      <c r="J22" s="52">
        <f>SUMIFS(ChiTieu!E:E,ChiTieu!F:F,I22,ChiTieu!A:A,"&gt;="&amp;$B$2,ChiTieu!A:A,"&lt;"&amp;EDATE($B$2,1))</f>
        <v>2587962</v>
      </c>
    </row>
    <row r="23" ht="15.75" customHeight="1">
      <c r="A23" s="3" t="str">
        <f>DanhMuc!A17</f>
        <v>Khác</v>
      </c>
      <c r="B23" s="52">
        <f>SUMIFS(ChiTieu!E:E,ChiTieu!B:B,A23,ChiTieu!A:A,"&gt;="&amp;$B$2,ChiTieu!A:A,"&lt;"&amp;EDATE($B$2,1))</f>
        <v>400000</v>
      </c>
      <c r="C23" s="53" t="str">
        <f t="shared" si="1"/>
        <v>██████</v>
      </c>
      <c r="E23" s="3" t="str">
        <f>DanhMuc!B3</f>
        <v>Gia đình</v>
      </c>
      <c r="F23" s="52">
        <f>SUMIFS(ChiTieu!E:E,ChiTieu!H:H,E23,ChiTieu!A:A,"&gt;="&amp;$B$2,ChiTieu!A:A,"&lt;"&amp;EDATE($B$2,1))</f>
        <v>1720157</v>
      </c>
      <c r="I23" s="3" t="str">
        <f>DanhMuc!C3</f>
        <v>Thẻ SHB</v>
      </c>
      <c r="J23" s="52">
        <f>SUMIFS(ChiTieu!E:E,ChiTieu!F:F,I23,ChiTieu!A:A,"&gt;="&amp;$B$2,ChiTieu!A:A,"&lt;"&amp;EDATE($B$2,1))</f>
        <v>607000</v>
      </c>
    </row>
    <row r="24" ht="15.75" customHeight="1">
      <c r="E24" s="3" t="str">
        <f>DanhMuc!B4</f>
        <v>Về quê</v>
      </c>
      <c r="F24" s="52">
        <f>SUMIFS(ChiTieu!E:E,ChiTieu!H:H,E24,ChiTieu!A:A,"&gt;="&amp;$B$2,ChiTieu!A:A,"&lt;"&amp;EDATE($B$2,1))</f>
        <v>0</v>
      </c>
      <c r="I24" s="3" t="str">
        <f>DanhMuc!C4</f>
        <v>VCB</v>
      </c>
      <c r="J24" s="52">
        <f>SUMIFS(ChiTieu!E:E,ChiTieu!F:F,I24,ChiTieu!A:A,"&gt;="&amp;$B$2,ChiTieu!A:A,"&lt;"&amp;EDATE($B$2,1))</f>
        <v>417000</v>
      </c>
    </row>
    <row r="25" ht="15.75" customHeight="1">
      <c r="E25" s="3" t="str">
        <f>DanhMuc!B5</f>
        <v>Đi chơi hè</v>
      </c>
      <c r="F25" s="52">
        <f>SUMIFS(ChiTieu!E:E,ChiTieu!H:H,E25,ChiTieu!A:A,"&gt;="&amp;$B$2,ChiTieu!A:A,"&lt;"&amp;EDATE($B$2,1))</f>
        <v>0</v>
      </c>
      <c r="I25" s="3" t="str">
        <f>DanhMuc!C5</f>
        <v>App Vietlot</v>
      </c>
      <c r="J25" s="52">
        <f>SUMIFS(ChiTieu!E:E,ChiTieu!F:F,I25,ChiTieu!A:A,"&gt;="&amp;$B$2,ChiTieu!A:A,"&lt;"&amp;EDATE($B$2,1))</f>
        <v>100000</v>
      </c>
    </row>
    <row r="26" ht="15.75" customHeight="1">
      <c r="A26" s="77" t="s">
        <v>123</v>
      </c>
      <c r="E26" s="3" t="str">
        <f>DanhMuc!B6</f>
        <v>Team</v>
      </c>
      <c r="F26" s="52">
        <f>SUMIFS(ChiTieu!E:E,ChiTieu!H:H,E26,ChiTieu!A:A,"&gt;="&amp;$B$2,ChiTieu!A:A,"&lt;"&amp;EDATE($B$2,1))</f>
        <v>0</v>
      </c>
      <c r="I26" s="3" t="str">
        <f>DanhMuc!C6</f>
        <v>Tiền mặt</v>
      </c>
      <c r="J26" s="52">
        <f>SUMIFS(ChiTieu!E:E,ChiTieu!F:F,I26,ChiTieu!A:A,"&gt;="&amp;$B$2,ChiTieu!A:A,"&lt;"&amp;EDATE($B$2,1))</f>
        <v>1189000</v>
      </c>
    </row>
    <row r="27" ht="15.75" customHeight="1">
      <c r="A27" s="77" t="s">
        <v>126</v>
      </c>
      <c r="E27" s="3" t="str">
        <f>DanhMuc!B7</f>
        <v>Khác</v>
      </c>
      <c r="F27" s="52">
        <f>SUMIFS(ChiTieu!E:E,ChiTieu!H:H,E27,ChiTieu!A:A,"&gt;="&amp;$B$2,ChiTieu!A:A,"&lt;"&amp;EDATE($B$2,1))</f>
        <v>200000</v>
      </c>
      <c r="I27" s="3" t="str">
        <f>DanhMuc!C7</f>
        <v>Chuyển khoản</v>
      </c>
      <c r="J27" s="52">
        <f>SUMIFS(ChiTieu!E:E,ChiTieu!F:F,I27,ChiTieu!A:A,"&gt;="&amp;$B$2,ChiTieu!A:A,"&lt;"&amp;EDATE($B$2,1))</f>
        <v>0</v>
      </c>
    </row>
    <row r="28" ht="15.75" customHeight="1">
      <c r="A28" s="78" t="s">
        <v>128</v>
      </c>
      <c r="I28" s="3" t="str">
        <f>DanhMuc!C8</f>
        <v>Thẻ</v>
      </c>
      <c r="J28" s="52">
        <f>SUMIFS(ChiTieu!E:E,ChiTieu!F:F,I28,ChiTieu!A:A,"&gt;="&amp;$B$2,ChiTieu!A:A,"&lt;"&amp;EDATE($B$2,1))</f>
        <v>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  <legacyDrawing r:id="rId3"/>
</worksheet>
</file>